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tuenl-my.sharepoint.com/personal/e_poupaki_tue_nl/Documents/3. IGZO/Data extraction IGZO/"/>
    </mc:Choice>
  </mc:AlternateContent>
  <xr:revisionPtr revIDLastSave="349" documentId="8_{DDE78F1D-FDA6-466C-B4AD-80620C31ED4A}" xr6:coauthVersionLast="47" xr6:coauthVersionMax="47" xr10:uidLastSave="{52495D86-E1BE-4361-8745-869D3137E0CC}"/>
  <bookViews>
    <workbookView xWindow="-28920" yWindow="-3210" windowWidth="29040" windowHeight="17520" firstSheet="3" activeTab="1" xr2:uid="{00000000-000D-0000-FFFF-FFFF00000000}"/>
  </bookViews>
  <sheets>
    <sheet name="1) InGaZnO" sheetId="1" r:id="rId1"/>
    <sheet name="2) InGaZnO-figures" sheetId="4" r:id="rId2"/>
    <sheet name="2) InGaZnO+figures" sheetId="3" r:id="rId3"/>
    <sheet name="3) ZnO (-figures)" sheetId="2" r:id="rId4"/>
    <sheet name="4) ZnO (+figure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5" l="1"/>
  <c r="C26" i="5"/>
  <c r="G21" i="5"/>
  <c r="F21" i="5"/>
  <c r="F20" i="4"/>
  <c r="F19" i="4" s="1"/>
  <c r="E20" i="4"/>
  <c r="E19" i="4" s="1"/>
  <c r="D20" i="4"/>
  <c r="D19" i="4" s="1"/>
  <c r="C20" i="4"/>
  <c r="C19" i="4" s="1"/>
  <c r="B20" i="4"/>
  <c r="B19" i="4"/>
  <c r="F20" i="3"/>
  <c r="F19" i="3" s="1"/>
  <c r="E20" i="3"/>
  <c r="E19" i="3" s="1"/>
  <c r="D20" i="3"/>
  <c r="D19" i="3" s="1"/>
  <c r="C20" i="3"/>
  <c r="C19" i="3" s="1"/>
  <c r="B20" i="3"/>
  <c r="B19" i="3" s="1"/>
  <c r="N39" i="2"/>
  <c r="D26" i="2"/>
  <c r="H21" i="2"/>
  <c r="J21" i="2"/>
</calcChain>
</file>

<file path=xl/sharedStrings.xml><?xml version="1.0" encoding="utf-8"?>
<sst xmlns="http://schemas.openxmlformats.org/spreadsheetml/2006/main" count="2767" uniqueCount="264">
  <si>
    <t>SampleID</t>
  </si>
  <si>
    <t>10.1021/acsaelm.2c01342_Lee_2022_1</t>
  </si>
  <si>
    <t>10.1021/acsaelm.2c01342_Lee_2022_2</t>
  </si>
  <si>
    <t>10.1021/acsaelm.2c01342_Lee_2022_3</t>
  </si>
  <si>
    <t>Supported by</t>
  </si>
  <si>
    <t>aldSystem.materialDeposited</t>
  </si>
  <si>
    <t>InGaZnO</t>
  </si>
  <si>
    <t xml:space="preserve">"IGZO thin films (20
nm) with various compositions were prepared by ALD…"
</t>
  </si>
  <si>
    <t>reactantSelection.carrierGas</t>
  </si>
  <si>
    <t>-</t>
  </si>
  <si>
    <t>reactantSelection.purgingGas</t>
  </si>
  <si>
    <t>processParameters.reactor.name</t>
  </si>
  <si>
    <t>processParameters.reactor.manufacturer</t>
  </si>
  <si>
    <t>processParameters.deliveryMethod</t>
  </si>
  <si>
    <t>processParameters.substrate</t>
  </si>
  <si>
    <t>thermally grown SiO2/Si
substrates</t>
  </si>
  <si>
    <t>"First, the S/D electrodes were prepared onto the thermally grown SiO2/Si
substrates"</t>
  </si>
  <si>
    <t>processParameters.temperature.value</t>
  </si>
  <si>
    <t>"IGZO thin films (20
nm) with various compositions were prepared by ALD at 200 °C."</t>
  </si>
  <si>
    <t>processParameters.temperature.unit</t>
  </si>
  <si>
    <t>°C</t>
  </si>
  <si>
    <t>processParameters.pressure.value</t>
  </si>
  <si>
    <t>processParameters.pressure.unit</t>
  </si>
  <si>
    <t>processParameters.plasmaPower.value</t>
  </si>
  <si>
    <t>processParameters.plasmaPower.unit</t>
  </si>
  <si>
    <t>thicknessControl.saturation (TRUE/FALSE)</t>
  </si>
  <si>
    <t>As a result, the
optimum linearity could be properly secured for all precursors at 200 °C, as shown in FigureS1b.</t>
  </si>
  <si>
    <t>thicknessControl.nucleationPeriod.cycles</t>
  </si>
  <si>
    <t>thicknessControl.filmThickness.value</t>
  </si>
  <si>
    <t>"IGZO thin films (20
nm) with various compositions were prepared by ALD…"</t>
  </si>
  <si>
    <t>thicknessControl.filmThickness.unit</t>
  </si>
  <si>
    <t>nm</t>
  </si>
  <si>
    <t>thicknessControl.growthPerCycle.totalCycles</t>
  </si>
  <si>
    <t>supercycle.numberOfSupercycles</t>
  </si>
  <si>
    <t>supercycle.GPC.value (Å/supercycle)</t>
  </si>
  <si>
    <t>supercycle.sequence_string (e.g., InOx-GaOx-ZnO)</t>
  </si>
  <si>
    <t>InGaOx-ZnO</t>
  </si>
  <si>
    <t>InOx-InGaOx-ZnO</t>
  </si>
  <si>
    <t>"During the depositions, subcyclic ratios (TEIn: In-Ga: DEZn) of each precursor were modulated to 0:2:2, 1:2:2, and 2:2:2 to control the In contents within the ALD IGZO thin films. Figure 1c shows the schematic illustrations of supercycle sequences of ALD processes for each IGZO composition."</t>
  </si>
  <si>
    <t>compound1.name</t>
  </si>
  <si>
    <t>InGaOx</t>
  </si>
  <si>
    <t>InOx</t>
  </si>
  <si>
    <t>compound1.ALDMethod (PEALD/TALD/SALD)</t>
  </si>
  <si>
    <t>TALD</t>
  </si>
  <si>
    <t>compound1.precursor</t>
  </si>
  <si>
    <t>In-Ga bimetallic precursor</t>
  </si>
  <si>
    <t>TEIn</t>
  </si>
  <si>
    <t xml:space="preserve"> "Triethyl indium (TEIn), In-Ga bimetallic precursor, and diethyl zinc (DEZn), were used as In, Ga, and Zn sources, and O3 was used as oxidant, respectively. " When O3-&gt; thermal process</t>
  </si>
  <si>
    <t>compound1.coReactant</t>
  </si>
  <si>
    <t>O3</t>
  </si>
  <si>
    <t>compound1.dose.precursor_ms</t>
  </si>
  <si>
    <t>compound1.dose.coReactant_ms</t>
  </si>
  <si>
    <t>compound1.purge.precursor_ms</t>
  </si>
  <si>
    <t>compound1.purge.coReactant_ms</t>
  </si>
  <si>
    <t>compound1.flow.precursor_sccm</t>
  </si>
  <si>
    <t>compound1.flow.coReactant_sccm</t>
  </si>
  <si>
    <t>compound1.flow.purgeGas_sccm</t>
  </si>
  <si>
    <t>compound1.GPC_A_per_cycle</t>
  </si>
  <si>
    <t>compound1.subcycle_count</t>
  </si>
  <si>
    <t>compound1.sequenceIndex (1..N)</t>
  </si>
  <si>
    <t>compound2.name</t>
  </si>
  <si>
    <t>ZnO</t>
  </si>
  <si>
    <t>compound2.ALDMethod (PEALD/TALD/SALD)</t>
  </si>
  <si>
    <t>compound2.precursor</t>
  </si>
  <si>
    <t>DEZn</t>
  </si>
  <si>
    <t>compound2.coReactant</t>
  </si>
  <si>
    <t>compound2.dose.precursor_ms</t>
  </si>
  <si>
    <t>compound2.dose.coReactant_ms</t>
  </si>
  <si>
    <t>compound2.purge.precursor_ms</t>
  </si>
  <si>
    <t>compound2.purge.coReactant_ms</t>
  </si>
  <si>
    <t>compound2.flow.precursor_sccm</t>
  </si>
  <si>
    <t>compound2.flow.coReactant_sccm</t>
  </si>
  <si>
    <t>compound2.flow.purgeGas_sccm</t>
  </si>
  <si>
    <t>compound2.GPC_A_per_cycle</t>
  </si>
  <si>
    <t>compound2.subcycle_count</t>
  </si>
  <si>
    <t>compound2.sequenceIndex (1..N)</t>
  </si>
  <si>
    <t>compound3.name</t>
  </si>
  <si>
    <t>compound3.ALDMethod (PEALD/TALD/SALD)</t>
  </si>
  <si>
    <t>compound3.precursor</t>
  </si>
  <si>
    <t>compound3.coReactant</t>
  </si>
  <si>
    <t>compound3.dose.precursor_ms</t>
  </si>
  <si>
    <t>compound3.dose.coReactant_ms</t>
  </si>
  <si>
    <t>compound3.purge.precursor_ms</t>
  </si>
  <si>
    <t>compound3.purge.coReactant_ms</t>
  </si>
  <si>
    <t>compound3.flow.precursor_sccm</t>
  </si>
  <si>
    <t>compound3.flow.coReactant_sccm</t>
  </si>
  <si>
    <t>compound3.flow.purgeGas_sccm</t>
  </si>
  <si>
    <t>compound3.GPC_A_per_cycle</t>
  </si>
  <si>
    <t>compound3.subcycle_count</t>
  </si>
  <si>
    <t>compound3.sequenceIndex (1..N)</t>
  </si>
  <si>
    <t>electrical.resistivity_ohm_m</t>
  </si>
  <si>
    <t>electrical.carrierDensity_per_m3</t>
  </si>
  <si>
    <t>electrical.carrierMobility_cm2_per_Vs</t>
  </si>
  <si>
    <t>electrical.characterizationMethod</t>
  </si>
  <si>
    <t>optical.refractiveIndex_value</t>
  </si>
  <si>
    <t>optical.absorptionCoefficient_value</t>
  </si>
  <si>
    <t>optical.absorptionCoefficient_unit</t>
  </si>
  <si>
    <t>optical.bandGap_eV</t>
  </si>
  <si>
    <t>optical.characterizationMethod</t>
  </si>
  <si>
    <t>uniformity.variation_percent</t>
  </si>
  <si>
    <t>conformality.aspectRatio</t>
  </si>
  <si>
    <t>filmComposition.elementalPercent.In</t>
  </si>
  <si>
    <t>Table 1. Summary of the Atomic Percent of the ALD IGZO Thin Films with Different Cation Compositions Modulated by Subcyclic Ratios of Each Precursor, Which Were Determined by XPS Depth Profile Analysis
atomic percent (%)
In Ga Zn O 
Comp. A (0:2:2) 5 14 27 54
Comp. B (1:2:2) 10 11 23 56
Comp. C (2:2:2) 14 9 21 56</t>
  </si>
  <si>
    <t>filmComposition.elementalPercent.Ga</t>
  </si>
  <si>
    <t>filmComposition.elementalPercent.Zn</t>
  </si>
  <si>
    <t>filmComposition.elementalPercent.O</t>
  </si>
  <si>
    <t>filmComposition.elementalPercent.C</t>
  </si>
  <si>
    <t>filmComposition.elementalPercent.H</t>
  </si>
  <si>
    <t>filmComposition.elemental.characterizationMethod</t>
  </si>
  <si>
    <t>XPS Depth Profile Analysis</t>
  </si>
  <si>
    <t>The atomic percent and the corresponding cationic compositions of the prepared IGZO channel layers with different cationic compositions were determined by X-ray photoelectron spectroscopy (XPS) analysis</t>
  </si>
  <si>
    <t>filmComposition.atomicRatio_string (e.g., In:Ga:Zn=1.2:0.8:1.0)</t>
  </si>
  <si>
    <t>1.0:2.8:5.4</t>
  </si>
  <si>
    <t>1.0:1.1:2.3</t>
  </si>
  <si>
    <t>1.0:0.7:1.5</t>
  </si>
  <si>
    <t>stoichiometry
Comp. A (0:2:2) In1.0Ga2.8Zn5.4
Comp. B (1:2:2) In1.0Ga1.1Zn2.3
Comp. C (2:2:2)  In1.0Ga0.7Zn1.5</t>
  </si>
  <si>
    <t>filmComposition.atomicRatio.characterizationMethod</t>
  </si>
  <si>
    <t>crystallinity.phase</t>
  </si>
  <si>
    <t>crystallinity.characterizationMethod</t>
  </si>
  <si>
    <t>roughness.rms_nm</t>
  </si>
  <si>
    <t>roughness.characterizationMethod</t>
  </si>
  <si>
    <t>filmDensity.g_per_cm3</t>
  </si>
  <si>
    <t>filmDensity.characterizationMethod</t>
  </si>
  <si>
    <t>device1.fieldEffectMobility_cm2_per_Vs</t>
  </si>
  <si>
    <t>Table 2. Summary of the Device Parameters Including Field-Effect Mobilities, Subthreshold Swing, and Threshold Voltage of the Fabricated TFTs device parameter
μFE(cm2/(V s)) SS (V/dec) VTH (V)
Dev. A 16.1 0.21 2.16
Dev. B 30.7 0.21 0.97
Dev. C 36.9 0.20 −2.51</t>
  </si>
  <si>
    <t>device1.thresholdVoltage_V</t>
  </si>
  <si>
    <t>device1.subthresholdSwing_V_per_dec</t>
  </si>
  <si>
    <t>device1.onOffRatio</t>
  </si>
  <si>
    <t>device1.structure</t>
  </si>
  <si>
    <t>TGBC; Si/SiO2 | ITO S/D 150 nm | IGZO (Comp A) | Al2O3 PL 10 nm | Al2O3 GI 80 nm | ITO gate 150 nm</t>
  </si>
  <si>
    <t>TGBC; Si/SiO2 | ITO S/D 150 nm | IGZO (Comp B) | Al2O3 PL 10 nm | Al2O3 GI 80 nm | ITO gate 150 nm</t>
  </si>
  <si>
    <t>TGBC; Si/SiO2 | ITO S/D 150 nm | IGZO (Comp C) | Al2O3 PL 10 nm | Al2O3 GI 80 nm | ITO gate 150 nm</t>
  </si>
  <si>
    <t>we utilized top-gate-bottom-contact TFT, First, the S/D electrodes were prepared onto the thermally grown SiO2/Si substrates, in which ITO and Mo thin films (150 nm) were respectively deposited by DC sputtering to elucidate the effects of S/ D electrode materials on the contact behavior of the ALD IGZO TFTs. The electrode patterns were formed by conventional photolithography and wet etching techniques. IGZO thin films (20 nm) with various compositions were prepared by ALD at 200 °C. Then, 10 nm-thick Al2O3 protection layers (PLs), which can effectively prevent plausible process damages to IGZO active layer during the patterning process includig photolithography and subsequent wet etching, were deposited by ALD at 200 °C... IGZO active layer and Al2O3 PL were patterned at once. The active areas were defined by varying the L from 4 to 24 μm with a fixed channel width (W) of 24 μm. Then, Al2O3 thin films= (80 nm) were deposited as GI layers by ALD at 200 °C with identical process to the PL. After forming the contact holes to electrically connect the S/D electrodes with contact pads, ITO layers (150 nm) were deposited by DC sputtering and patterned as gate electrodes by conventional lift-off process. Hereinafter, for convenient discussions, the TFTs using ITO S/D and IGZO channels with Comp. A, B, and C were termed Dev. A, B, and C, respectively. Similarly, the TFTs using Mo S/D were termed Dev. A′, B′, and C′, respectively.</t>
  </si>
  <si>
    <t>device2.fieldEffectMobility_cm2_per_Vs</t>
  </si>
  <si>
    <t>Table 2. Summary of the Device Parameters Including Field-Effect Mobilities, Subthreshold Swing, and Threshold Voltage of the Fabricated TFTs device parameter
μFE(cm2/(V s)) SS (V/dec) VTH (V)
Dev. A′ 2.8 0.60 4.42
Dev. B′ 13.8 0.62 2.58
Dev. C′ 20.1 0.62 1.75</t>
  </si>
  <si>
    <t>device2.thresholdVoltage_V</t>
  </si>
  <si>
    <t>device2.subthresholdSwing_mV_per_dec</t>
  </si>
  <si>
    <t>device2.onOffRatio</t>
  </si>
  <si>
    <t>device2.structure</t>
  </si>
  <si>
    <t>TGBC; Si/SiO2 | Mo S/D 150 nm | IGZO (Comp A) | Al2O3 PL 10 nm | Al2O3 GI 80 nm | ITO gate 150 nm</t>
  </si>
  <si>
    <t>TGBC; Si/SiO2 | Mo S/D 150 nm | IGZO (Comp B) | Al2O3 PL 10 nm | Al2O3 GI 80 nm | ITO gate 150 nm</t>
  </si>
  <si>
    <t>TGBC; Si/SiO2 | Mo S/D 150 nm | IGZO (Comp C) | Al2O3 PL 10 nm | Al2O3 GI 80 nm | ITO gate 150 nm</t>
  </si>
  <si>
    <t>otherAspects.safety_notes</t>
  </si>
  <si>
    <t>otherAspects.filmStability (TRUE/FALSE)</t>
  </si>
  <si>
    <t>otherAspects.reproducibility (TRUE/FALSE)</t>
  </si>
  <si>
    <t>IGZO_PEALD_Sheng_2019_1</t>
  </si>
  <si>
    <t>IGZO_PEALD_Sheng_2019_2</t>
  </si>
  <si>
    <t>IGZO_PEALD_Sheng_2019_3</t>
  </si>
  <si>
    <t>IGZO_PEALD_Sheng_2019_4</t>
  </si>
  <si>
    <t>IGZO_PEALD_Sheng_2019_5</t>
  </si>
  <si>
    <t>Ar</t>
  </si>
  <si>
    <t>Si(100) with a native oxide layer after acetone washine</t>
  </si>
  <si>
    <t>InOx-ZnO-GaOx</t>
  </si>
  <si>
    <t>PEALD</t>
  </si>
  <si>
    <t>(3- dimethylamimopropryl)-dimethyl indium (DADI)</t>
  </si>
  <si>
    <t>diethyl zinc (DEZ)</t>
  </si>
  <si>
    <t>O2 Plasma</t>
  </si>
  <si>
    <t>GaOx</t>
  </si>
  <si>
    <t>trimethyl gallium (TMGa)</t>
  </si>
  <si>
    <t>2.7 × 10^14</t>
  </si>
  <si>
    <t>5.9 × 1016</t>
  </si>
  <si>
    <t>1.8 × 10^17</t>
  </si>
  <si>
    <t>4.2×10^17</t>
  </si>
  <si>
    <t>7.1 × 10^17</t>
  </si>
  <si>
    <t>AC-field Hall effect measurement (ResiTest8400, Toyo Corp.)</t>
  </si>
  <si>
    <t>UV−visible spectrophotometer
(Hitachi UH4150)</t>
  </si>
  <si>
    <t>X-ray photoelectron spectroscopy (XPS) (Versaprobe II)</t>
  </si>
  <si>
    <t>In:Zn:Ga=0.9:1.6:1</t>
  </si>
  <si>
    <t>In:Zn:Ga=1.6:1.7:1</t>
  </si>
  <si>
    <t>In:Zn:Ga=2.1:1.8:1</t>
  </si>
  <si>
    <t>In:Zn:Ga=2.6:1.7:1</t>
  </si>
  <si>
    <t>In:Zn:Ga=2.8:1.7:1</t>
  </si>
  <si>
    <t>amorphous</t>
  </si>
  <si>
    <t>X-ray diffraction (XRD) (λ = 1.5406 Å) with the 2-θ method.</t>
  </si>
  <si>
    <t>X-ray diffraction (XRD) (λ = 1.5406 Å) with the 2-θ method + TEM</t>
  </si>
  <si>
    <t>grazing incidence X-ray reflectivity instrument (GIXRR, SmartLab RIGAKU)</t>
  </si>
  <si>
    <t>4.8 ± 0.2</t>
  </si>
  <si>
    <t>15.7 ± 0.2</t>
  </si>
  <si>
    <t>30.3 ± 0.8</t>
  </si>
  <si>
    <t>38.4 ± 1.0</t>
  </si>
  <si>
    <t>65.5 ± 1.2</t>
  </si>
  <si>
    <t>0.34 ± 0.03</t>
  </si>
  <si>
    <t>0.21 ± 0.07</t>
  </si>
  <si>
    <t>0.20 ± 0.04</t>
  </si>
  <si>
    <t>0.21 ± 0.04</t>
  </si>
  <si>
    <t>0.22 ± 0.03</t>
  </si>
  <si>
    <t>0.56 ± 0.1</t>
  </si>
  <si>
    <t>0.29 ± 0.03</t>
  </si>
  <si>
    <t>0.26 ± 0.02</t>
  </si>
  <si>
    <t>0.25 ± 0.03</t>
  </si>
  <si>
    <t>2.9 × 10^8</t>
  </si>
  <si>
    <t>4.2 × 10^8</t>
  </si>
  <si>
    <t>5.5 × 10^8</t>
  </si>
  <si>
    <t>7.2 × 10^8</t>
  </si>
  <si>
    <t>8.9 × 10^8</t>
  </si>
  <si>
    <t>Bottom-gate / top-contact IGZO TFT on Si/SiO₂, with ITO S/D electrodes</t>
  </si>
  <si>
    <t>10.1016/j.tsf.2011.02.024_Malm_2011_1</t>
  </si>
  <si>
    <t>10.1016/j.tsf.2011.02.024_Malm_2011_2</t>
  </si>
  <si>
    <t>10.1016/j.tsf.2011.02.024_Malm_2011_3</t>
  </si>
  <si>
    <t>10.1016/j.tsf.2011.02.024_Malm_2011_4</t>
  </si>
  <si>
    <t>10.1016/j.tsf.2011.02.024_Malm_2011_10</t>
  </si>
  <si>
    <t>10.1016/j.tsf.2011.02.024_Malm_2011_11</t>
  </si>
  <si>
    <t>10.1016/j.tsf.2011.02.024_Malm_2011_12</t>
  </si>
  <si>
    <t>10.1016/j.tsf.2011.02.024_Malm_2011_13</t>
  </si>
  <si>
    <t>The ZnO thin films were deposited…</t>
  </si>
  <si>
    <t>Nitrogen (99.999%)</t>
  </si>
  <si>
    <t>Nitrogen (99.999%) was used both as a carrier and purging gas.</t>
  </si>
  <si>
    <t>flow-type ALD reactor M-120</t>
  </si>
  <si>
    <t>...in a flow-type ALD reactor (M-120, ASM Microchemistry).</t>
  </si>
  <si>
    <t>ASM Microchemistry</t>
  </si>
  <si>
    <t xml:space="preserve">
introduced in the reactor from external containers</t>
  </si>
  <si>
    <t>5×5 cm2 Si(100)</t>
  </si>
  <si>
    <t>The ZnO thin films were deposited on 5×5 cm2 Si(100) substrates…</t>
  </si>
  <si>
    <t>and the substrate temperature was varied from room temperature (RT) to 140 °C.</t>
  </si>
  <si>
    <t>The pressure in the reactor was ~300 Pa…</t>
  </si>
  <si>
    <t>Pa</t>
  </si>
  <si>
    <t>processParameters.precursor.temperature.value</t>
  </si>
  <si>
    <t>room temperature</t>
  </si>
  <si>
    <t>They were introduced in the reactor from external containers kept at room temperature.</t>
  </si>
  <si>
    <t>processParameters.precursor.temperature.unit</t>
  </si>
  <si>
    <t>processParameters.coreactant.temperature.value</t>
  </si>
  <si>
    <t>processParameters.coreactant.temperature.unit</t>
  </si>
  <si>
    <t>(a) 40 °C and (b) 120 °C. The RMS roughness
values are 2.8 and 6.9 nm, respectively, for films with thicknesses of 82 and 139 nm.</t>
  </si>
  <si>
    <t>All the films were characterized for the thickness by a spectrophotometer
(Hitachi U-2000)</t>
  </si>
  <si>
    <t>A</t>
  </si>
  <si>
    <t>thicknessControl.filmThickness.characterizationMethod</t>
  </si>
  <si>
    <t>spectrophotometer (Hitachi U-2000) using a method described by Ylilammi and Ranta-aho</t>
  </si>
  <si>
    <t>The number of deposition cycles was fixed to 600 in all the experiments</t>
  </si>
  <si>
    <t>supercycle.GPC.value (Å)</t>
  </si>
  <si>
    <t>Calculated from: GPC=thickness/cycles</t>
  </si>
  <si>
    <t>DEZ (Crompton GmbH)</t>
  </si>
  <si>
    <t>diethylzinc (Crompton GmbH) and water were used as precursors.</t>
  </si>
  <si>
    <t>water</t>
  </si>
  <si>
    <t>The pulse length was 2.5 s for both DEZ and water, and 10 s for the N2 purge</t>
  </si>
  <si>
    <t>compound1.GPC_A</t>
  </si>
  <si>
    <t xml:space="preserve">With increasing temperature the growth rate increases (above 40 °C)moderately except at about 80 °C where an abrupt change is observed from 1.6 Å/cycle to 1.95 Å/cycle </t>
  </si>
  <si>
    <t>1.1±0.3</t>
  </si>
  <si>
    <t>Table 1 summarizes
the results for samples deposited at 40, 70, 90 and 120 °C together
with those deposited at 70 °C and annealed in oxygen and nitrogen
atmospheres at 600 °C</t>
  </si>
  <si>
    <t>0.25±0.05</t>
  </si>
  <si>
    <t>0.30±0.1</t>
  </si>
  <si>
    <t>0.15±0.05</t>
  </si>
  <si>
    <t>11±2</t>
  </si>
  <si>
    <t>4.5±1.0</t>
  </si>
  <si>
    <t>3.2±1.0</t>
  </si>
  <si>
    <t>2.0±0.5</t>
  </si>
  <si>
    <t>elastic recoil detection analysis (TOF-ERDA) technique using 11.915MeV 81Br6+ ions.</t>
  </si>
  <si>
    <t>Elemental compositions of selected as-deposited and annealed thin-film samples were investigated with the time-of-flight elastic recoil detection analysis (TOF-ERDA) technique using 11.915MeV 81Br6+ ions.</t>
  </si>
  <si>
    <t>Zn:O=0.76±0.14</t>
  </si>
  <si>
    <t>Zn:O=0.83±0.14</t>
  </si>
  <si>
    <t>Zn:O=0.88±0.09</t>
  </si>
  <si>
    <t>Zn:O=0.78±0.14</t>
  </si>
  <si>
    <t>the (002) reflection is dominant, the c axis perpendicular to the substrate surface</t>
  </si>
  <si>
    <t>For deposition temperatures lower than 70 °C the (002) reflection is dominant indicating that in the low temperature range ZnO grows on Si (100) substrates with the c-axis perpendicular to the substrate surface</t>
  </si>
  <si>
    <t>(002) reflection abruptly loses intensity and simultaneously the (100) reflection starts to gain intensity. some of the grains in have their c-axes parallel rather than perpendicular to the substrate surface.</t>
  </si>
  <si>
    <t>In the higher deposition temperature range the (002) reflection abruptly loses intensity at 70–80 °C and simultaneously the (100) reflection starts to gain intensity (Figs. 2 and 3), indicating that some of the grains in the films grown at temperatures higher than 80 °C have their c-axes parallel rather than perpendicular to the substrate surface.</t>
  </si>
  <si>
    <t>both the (100) and the (002) reflections gradually get more intense</t>
  </si>
  <si>
    <t>Upon increasing the deposition temperature beyond 80 °C, both the (100) and the (002) reflections gradually get more intense, presumably due to improved crystallinity and/or increasedfilmthickness</t>
  </si>
  <si>
    <t>the intensity ratio of the (100) and (002) peaks is closest to that observed in a randomly oriented ZnO powder</t>
  </si>
  <si>
    <t>In the films deposited at 90 °C and 120 °C the
intensity ratio of the (100) and (002) peaks is closest to that observed in a randomly oriented ZnO powder</t>
  </si>
  <si>
    <t>X-ray diffraction (XRD; Philips MPD 1880; Cu Kα; 40 kV; 50 mA)</t>
  </si>
  <si>
    <t>and for the degree of crystallinity and crystal orientation by X-ray diffraction (XRD; Philips MPD 1880; Cu Kα; 40 kV; 50 mA)</t>
  </si>
  <si>
    <t>The root-mean-square (RMS) roughness values were found to increase with increasing deposition temperature and values ranging from 1.9 nm to 6.9 nm were measured in the 23–140 °C deposition temperature range</t>
  </si>
  <si>
    <t>AFM, Ntegra PNL by NT-MDT</t>
  </si>
  <si>
    <t>Atomic force microscope (AFM) measurements were performed to study the film surface structure and roughness (Ntegra PNL by NT-MDT).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</si>
</sst>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name val="Calibri"/>
    </font>
    <font>
      <b/>
      <sz val="11"/>
      <color theme="1"/>
      <name val="Calibri"/>
      <family val="2"/>
      <scheme val="minor"/>
    </font>
    <font>
      <sz val="8"/>
      <name val="Calibri"/>
      <family val="2"/>
      <scheme val="minor"/>
    </font>
    <font>
      <b/>
      <sz val="11"/>
      <name val="Calibri"/>
      <family val="2"/>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0" fillId="0" borderId="0" xfId="0" applyAlignment="1">
      <alignment wrapText="1"/>
    </xf>
    <xf numFmtId="0" fontId="4" fillId="0" borderId="0" xfId="0" applyFont="1" applyAlignment="1">
      <alignment horizontal="center" vertical="center" wrapText="1"/>
    </xf>
    <xf numFmtId="0" fontId="5" fillId="0" borderId="0" xfId="0" applyFont="1" applyAlignment="1">
      <alignment horizontal="center" vertical="center" wrapText="1"/>
    </xf>
    <xf numFmtId="2" fontId="5" fillId="0" borderId="0" xfId="0" applyNumberFormat="1" applyFont="1" applyAlignment="1">
      <alignment horizontal="center" vertical="center" wrapText="1"/>
    </xf>
    <xf numFmtId="0" fontId="0" fillId="0" borderId="0" xfId="0" applyAlignment="1">
      <alignment horizontal="center" wrapText="1"/>
    </xf>
    <xf numFmtId="1" fontId="0" fillId="0" borderId="0" xfId="0" applyNumberFormat="1" applyAlignment="1">
      <alignment horizont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3"/>
  <sheetViews>
    <sheetView zoomScaleNormal="100" workbookViewId="0">
      <pane xSplit="1" topLeftCell="B1" activePane="topRight" state="frozen"/>
      <selection pane="topRight" activeCell="C22" sqref="C22"/>
    </sheetView>
  </sheetViews>
  <sheetFormatPr defaultRowHeight="15"/>
  <cols>
    <col min="1" max="1" width="55.85546875" style="1" customWidth="1"/>
    <col min="2" max="4" width="37.28515625" style="1" customWidth="1"/>
    <col min="5" max="5" width="115.7109375" style="1" customWidth="1"/>
    <col min="6" max="16384" width="9.140625" style="1"/>
  </cols>
  <sheetData>
    <row r="1" spans="1:5">
      <c r="A1" s="2" t="s">
        <v>0</v>
      </c>
      <c r="B1" s="3" t="s">
        <v>1</v>
      </c>
      <c r="C1" s="3" t="s">
        <v>2</v>
      </c>
      <c r="D1" s="3" t="s">
        <v>3</v>
      </c>
      <c r="E1" s="1" t="s">
        <v>4</v>
      </c>
    </row>
    <row r="2" spans="1:5" ht="45">
      <c r="A2" s="2" t="s">
        <v>5</v>
      </c>
      <c r="B2" s="1" t="s">
        <v>6</v>
      </c>
      <c r="C2" s="1" t="s">
        <v>6</v>
      </c>
      <c r="D2" s="1" t="s">
        <v>6</v>
      </c>
      <c r="E2" s="1" t="s">
        <v>7</v>
      </c>
    </row>
    <row r="3" spans="1:5">
      <c r="A3" s="2" t="s">
        <v>8</v>
      </c>
      <c r="B3" s="1" t="s">
        <v>9</v>
      </c>
      <c r="C3" s="1" t="s">
        <v>9</v>
      </c>
      <c r="D3" s="1" t="s">
        <v>9</v>
      </c>
    </row>
    <row r="4" spans="1:5">
      <c r="A4" s="2" t="s">
        <v>10</v>
      </c>
      <c r="B4" s="1" t="s">
        <v>9</v>
      </c>
      <c r="C4" s="1" t="s">
        <v>9</v>
      </c>
      <c r="D4" s="1" t="s">
        <v>9</v>
      </c>
    </row>
    <row r="5" spans="1:5">
      <c r="A5" s="2" t="s">
        <v>11</v>
      </c>
      <c r="B5" s="1" t="s">
        <v>9</v>
      </c>
      <c r="C5" s="1" t="s">
        <v>9</v>
      </c>
      <c r="D5" s="1" t="s">
        <v>9</v>
      </c>
    </row>
    <row r="6" spans="1:5">
      <c r="A6" s="2" t="s">
        <v>12</v>
      </c>
      <c r="B6" s="1" t="s">
        <v>9</v>
      </c>
      <c r="C6" s="1" t="s">
        <v>9</v>
      </c>
      <c r="D6" s="1" t="s">
        <v>9</v>
      </c>
    </row>
    <row r="7" spans="1:5">
      <c r="A7" s="2" t="s">
        <v>13</v>
      </c>
      <c r="B7" s="1" t="s">
        <v>9</v>
      </c>
      <c r="C7" s="1" t="s">
        <v>9</v>
      </c>
      <c r="D7" s="1" t="s">
        <v>9</v>
      </c>
    </row>
    <row r="8" spans="1:5" ht="30">
      <c r="A8" s="2" t="s">
        <v>14</v>
      </c>
      <c r="B8" s="1" t="s">
        <v>15</v>
      </c>
      <c r="C8" s="1" t="s">
        <v>15</v>
      </c>
      <c r="D8" s="1" t="s">
        <v>15</v>
      </c>
      <c r="E8" s="1" t="s">
        <v>16</v>
      </c>
    </row>
    <row r="9" spans="1:5" ht="30" customHeight="1">
      <c r="A9" s="2" t="s">
        <v>17</v>
      </c>
      <c r="B9" s="1">
        <v>200</v>
      </c>
      <c r="C9" s="1">
        <v>200</v>
      </c>
      <c r="D9" s="1">
        <v>200</v>
      </c>
      <c r="E9" s="11" t="s">
        <v>18</v>
      </c>
    </row>
    <row r="10" spans="1:5">
      <c r="A10" s="2" t="s">
        <v>19</v>
      </c>
      <c r="B10" s="1" t="s">
        <v>20</v>
      </c>
      <c r="C10" s="1" t="s">
        <v>20</v>
      </c>
      <c r="D10" s="1" t="s">
        <v>20</v>
      </c>
      <c r="E10" s="11"/>
    </row>
    <row r="11" spans="1:5">
      <c r="A11" s="2" t="s">
        <v>21</v>
      </c>
      <c r="B11" s="1" t="s">
        <v>9</v>
      </c>
      <c r="C11" s="1" t="s">
        <v>9</v>
      </c>
      <c r="D11" s="1" t="s">
        <v>9</v>
      </c>
    </row>
    <row r="12" spans="1:5">
      <c r="A12" s="2" t="s">
        <v>22</v>
      </c>
      <c r="B12" s="1" t="s">
        <v>9</v>
      </c>
      <c r="C12" s="1" t="s">
        <v>9</v>
      </c>
      <c r="D12" s="1" t="s">
        <v>9</v>
      </c>
    </row>
    <row r="13" spans="1:5">
      <c r="A13" s="2" t="s">
        <v>23</v>
      </c>
      <c r="B13" s="1" t="s">
        <v>9</v>
      </c>
      <c r="C13" s="1" t="s">
        <v>9</v>
      </c>
      <c r="D13" s="1" t="s">
        <v>9</v>
      </c>
    </row>
    <row r="14" spans="1:5">
      <c r="A14" s="2" t="s">
        <v>24</v>
      </c>
      <c r="B14" s="1" t="s">
        <v>9</v>
      </c>
      <c r="C14" s="1" t="s">
        <v>9</v>
      </c>
      <c r="D14" s="1" t="s">
        <v>9</v>
      </c>
    </row>
    <row r="15" spans="1:5" ht="30">
      <c r="A15" s="2" t="s">
        <v>25</v>
      </c>
      <c r="B15" s="1" t="b">
        <v>1</v>
      </c>
      <c r="C15" s="1" t="b">
        <v>1</v>
      </c>
      <c r="D15" s="1" t="b">
        <v>1</v>
      </c>
      <c r="E15" s="1" t="s">
        <v>26</v>
      </c>
    </row>
    <row r="16" spans="1:5">
      <c r="A16" s="2" t="s">
        <v>27</v>
      </c>
      <c r="B16" s="1" t="s">
        <v>9</v>
      </c>
      <c r="C16" s="1" t="s">
        <v>9</v>
      </c>
      <c r="D16" s="1" t="s">
        <v>9</v>
      </c>
    </row>
    <row r="17" spans="1:5" ht="30" customHeight="1">
      <c r="A17" s="2" t="s">
        <v>28</v>
      </c>
      <c r="B17" s="1">
        <v>20</v>
      </c>
      <c r="C17" s="1">
        <v>20</v>
      </c>
      <c r="D17" s="1">
        <v>20</v>
      </c>
      <c r="E17" s="11" t="s">
        <v>29</v>
      </c>
    </row>
    <row r="18" spans="1:5">
      <c r="A18" s="2" t="s">
        <v>30</v>
      </c>
      <c r="B18" s="1" t="s">
        <v>31</v>
      </c>
      <c r="C18" s="1" t="s">
        <v>31</v>
      </c>
      <c r="D18" s="1" t="s">
        <v>31</v>
      </c>
      <c r="E18" s="11"/>
    </row>
    <row r="19" spans="1:5">
      <c r="A19" s="2" t="s">
        <v>32</v>
      </c>
      <c r="B19" s="1" t="s">
        <v>9</v>
      </c>
      <c r="C19" s="1" t="s">
        <v>9</v>
      </c>
      <c r="D19" s="1" t="s">
        <v>9</v>
      </c>
    </row>
    <row r="20" spans="1:5">
      <c r="A20" s="2" t="s">
        <v>33</v>
      </c>
      <c r="B20" s="1" t="s">
        <v>9</v>
      </c>
      <c r="C20" s="1" t="s">
        <v>9</v>
      </c>
      <c r="D20" s="1" t="s">
        <v>9</v>
      </c>
    </row>
    <row r="21" spans="1:5">
      <c r="A21" s="2" t="s">
        <v>34</v>
      </c>
      <c r="B21" s="1" t="s">
        <v>9</v>
      </c>
      <c r="C21" s="1" t="s">
        <v>9</v>
      </c>
      <c r="D21" s="1" t="s">
        <v>9</v>
      </c>
    </row>
    <row r="22" spans="1:5" ht="45">
      <c r="A22" s="2" t="s">
        <v>35</v>
      </c>
      <c r="B22" s="1" t="s">
        <v>36</v>
      </c>
      <c r="C22" s="1" t="s">
        <v>37</v>
      </c>
      <c r="D22" s="1" t="s">
        <v>37</v>
      </c>
      <c r="E22" s="1" t="s">
        <v>38</v>
      </c>
    </row>
    <row r="23" spans="1:5">
      <c r="A23" s="2" t="s">
        <v>39</v>
      </c>
      <c r="B23" s="1" t="s">
        <v>40</v>
      </c>
      <c r="C23" s="1" t="s">
        <v>41</v>
      </c>
      <c r="D23" s="1" t="s">
        <v>41</v>
      </c>
    </row>
    <row r="24" spans="1:5">
      <c r="A24" s="2" t="s">
        <v>42</v>
      </c>
      <c r="B24" s="1" t="s">
        <v>43</v>
      </c>
      <c r="C24" s="1" t="s">
        <v>43</v>
      </c>
      <c r="D24" s="1" t="s">
        <v>43</v>
      </c>
    </row>
    <row r="25" spans="1:5" ht="30" customHeight="1">
      <c r="A25" s="2" t="s">
        <v>44</v>
      </c>
      <c r="B25" s="1" t="s">
        <v>45</v>
      </c>
      <c r="C25" s="1" t="s">
        <v>46</v>
      </c>
      <c r="D25" s="1" t="s">
        <v>46</v>
      </c>
      <c r="E25" s="11" t="s">
        <v>47</v>
      </c>
    </row>
    <row r="26" spans="1:5">
      <c r="A26" s="2" t="s">
        <v>48</v>
      </c>
      <c r="B26" s="1" t="s">
        <v>49</v>
      </c>
      <c r="C26" s="1" t="s">
        <v>49</v>
      </c>
      <c r="D26" s="1" t="s">
        <v>49</v>
      </c>
      <c r="E26" s="11"/>
    </row>
    <row r="27" spans="1:5">
      <c r="A27" s="2" t="s">
        <v>50</v>
      </c>
      <c r="B27" s="1" t="s">
        <v>9</v>
      </c>
      <c r="C27" s="1" t="s">
        <v>9</v>
      </c>
      <c r="D27" s="1" t="s">
        <v>9</v>
      </c>
    </row>
    <row r="28" spans="1:5">
      <c r="A28" s="2" t="s">
        <v>51</v>
      </c>
      <c r="B28" s="1" t="s">
        <v>9</v>
      </c>
      <c r="C28" s="1" t="s">
        <v>9</v>
      </c>
      <c r="D28" s="1" t="s">
        <v>9</v>
      </c>
    </row>
    <row r="29" spans="1:5">
      <c r="A29" s="2" t="s">
        <v>52</v>
      </c>
      <c r="B29" s="1" t="s">
        <v>9</v>
      </c>
      <c r="C29" s="1" t="s">
        <v>9</v>
      </c>
      <c r="D29" s="1" t="s">
        <v>9</v>
      </c>
    </row>
    <row r="30" spans="1:5">
      <c r="A30" s="2" t="s">
        <v>53</v>
      </c>
      <c r="B30" s="1" t="s">
        <v>9</v>
      </c>
      <c r="C30" s="1" t="s">
        <v>9</v>
      </c>
      <c r="D30" s="1" t="s">
        <v>9</v>
      </c>
    </row>
    <row r="31" spans="1:5">
      <c r="A31" s="2" t="s">
        <v>54</v>
      </c>
      <c r="B31" s="1" t="s">
        <v>9</v>
      </c>
      <c r="C31" s="1" t="s">
        <v>9</v>
      </c>
      <c r="D31" s="1" t="s">
        <v>9</v>
      </c>
    </row>
    <row r="32" spans="1:5">
      <c r="A32" s="2" t="s">
        <v>55</v>
      </c>
      <c r="B32" s="1" t="s">
        <v>9</v>
      </c>
      <c r="C32" s="1" t="s">
        <v>9</v>
      </c>
      <c r="D32" s="1" t="s">
        <v>9</v>
      </c>
    </row>
    <row r="33" spans="1:4">
      <c r="A33" s="2" t="s">
        <v>56</v>
      </c>
      <c r="B33" s="1" t="s">
        <v>9</v>
      </c>
      <c r="C33" s="1" t="s">
        <v>9</v>
      </c>
      <c r="D33" s="1" t="s">
        <v>9</v>
      </c>
    </row>
    <row r="34" spans="1:4">
      <c r="A34" s="2" t="s">
        <v>57</v>
      </c>
      <c r="B34" s="1" t="s">
        <v>9</v>
      </c>
      <c r="C34" s="1" t="s">
        <v>9</v>
      </c>
      <c r="D34" s="1" t="s">
        <v>9</v>
      </c>
    </row>
    <row r="35" spans="1:4">
      <c r="A35" s="2" t="s">
        <v>58</v>
      </c>
      <c r="B35" s="1">
        <v>2</v>
      </c>
      <c r="C35" s="1">
        <v>1</v>
      </c>
      <c r="D35" s="1">
        <v>2</v>
      </c>
    </row>
    <row r="36" spans="1:4">
      <c r="A36" s="4" t="s">
        <v>59</v>
      </c>
      <c r="B36" s="1">
        <v>1</v>
      </c>
      <c r="C36" s="1">
        <v>1</v>
      </c>
      <c r="D36" s="1">
        <v>1</v>
      </c>
    </row>
    <row r="37" spans="1:4">
      <c r="A37" s="2" t="s">
        <v>60</v>
      </c>
      <c r="B37" s="1" t="s">
        <v>61</v>
      </c>
      <c r="C37" s="1" t="s">
        <v>40</v>
      </c>
      <c r="D37" s="1" t="s">
        <v>40</v>
      </c>
    </row>
    <row r="38" spans="1:4">
      <c r="A38" s="2" t="s">
        <v>62</v>
      </c>
      <c r="B38" s="1" t="s">
        <v>43</v>
      </c>
      <c r="C38" s="1" t="s">
        <v>43</v>
      </c>
      <c r="D38" s="1" t="s">
        <v>43</v>
      </c>
    </row>
    <row r="39" spans="1:4">
      <c r="A39" s="2" t="s">
        <v>63</v>
      </c>
      <c r="B39" s="1" t="s">
        <v>64</v>
      </c>
      <c r="C39" s="1" t="s">
        <v>45</v>
      </c>
      <c r="D39" s="1" t="s">
        <v>45</v>
      </c>
    </row>
    <row r="40" spans="1:4">
      <c r="A40" s="2" t="s">
        <v>65</v>
      </c>
      <c r="B40" s="1" t="s">
        <v>49</v>
      </c>
      <c r="C40" s="1" t="s">
        <v>49</v>
      </c>
      <c r="D40" s="1" t="s">
        <v>49</v>
      </c>
    </row>
    <row r="41" spans="1:4">
      <c r="A41" s="2" t="s">
        <v>66</v>
      </c>
      <c r="B41" s="1" t="s">
        <v>9</v>
      </c>
      <c r="C41" s="1" t="s">
        <v>9</v>
      </c>
      <c r="D41" s="1" t="s">
        <v>9</v>
      </c>
    </row>
    <row r="42" spans="1:4">
      <c r="A42" s="2" t="s">
        <v>67</v>
      </c>
      <c r="B42" s="1" t="s">
        <v>9</v>
      </c>
      <c r="C42" s="1" t="s">
        <v>9</v>
      </c>
      <c r="D42" s="1" t="s">
        <v>9</v>
      </c>
    </row>
    <row r="43" spans="1:4">
      <c r="A43" s="2" t="s">
        <v>68</v>
      </c>
      <c r="B43" s="1" t="s">
        <v>9</v>
      </c>
      <c r="C43" s="1" t="s">
        <v>9</v>
      </c>
      <c r="D43" s="1" t="s">
        <v>9</v>
      </c>
    </row>
    <row r="44" spans="1:4">
      <c r="A44" s="2" t="s">
        <v>69</v>
      </c>
      <c r="B44" s="1" t="s">
        <v>9</v>
      </c>
      <c r="C44" s="1" t="s">
        <v>9</v>
      </c>
      <c r="D44" s="1" t="s">
        <v>9</v>
      </c>
    </row>
    <row r="45" spans="1:4">
      <c r="A45" s="2" t="s">
        <v>70</v>
      </c>
      <c r="B45" s="1" t="s">
        <v>9</v>
      </c>
      <c r="C45" s="1" t="s">
        <v>9</v>
      </c>
      <c r="D45" s="1" t="s">
        <v>9</v>
      </c>
    </row>
    <row r="46" spans="1:4">
      <c r="A46" s="2" t="s">
        <v>71</v>
      </c>
      <c r="B46" s="1" t="s">
        <v>9</v>
      </c>
      <c r="C46" s="1" t="s">
        <v>9</v>
      </c>
      <c r="D46" s="1" t="s">
        <v>9</v>
      </c>
    </row>
    <row r="47" spans="1:4">
      <c r="A47" s="2" t="s">
        <v>72</v>
      </c>
      <c r="B47" s="1" t="s">
        <v>9</v>
      </c>
      <c r="C47" s="1" t="s">
        <v>9</v>
      </c>
      <c r="D47" s="1" t="s">
        <v>9</v>
      </c>
    </row>
    <row r="48" spans="1:4">
      <c r="A48" s="2" t="s">
        <v>73</v>
      </c>
      <c r="B48" s="1" t="s">
        <v>9</v>
      </c>
      <c r="C48" s="1" t="s">
        <v>9</v>
      </c>
      <c r="D48" s="1" t="s">
        <v>9</v>
      </c>
    </row>
    <row r="49" spans="1:4">
      <c r="A49" s="2" t="s">
        <v>74</v>
      </c>
      <c r="B49" s="1">
        <v>2</v>
      </c>
      <c r="C49" s="1">
        <v>2</v>
      </c>
      <c r="D49" s="1">
        <v>2</v>
      </c>
    </row>
    <row r="50" spans="1:4">
      <c r="A50" s="2" t="s">
        <v>75</v>
      </c>
      <c r="B50" s="1">
        <v>2</v>
      </c>
      <c r="C50" s="1">
        <v>2</v>
      </c>
      <c r="D50" s="1">
        <v>2</v>
      </c>
    </row>
    <row r="51" spans="1:4">
      <c r="A51" s="2" t="s">
        <v>76</v>
      </c>
      <c r="B51" s="1" t="s">
        <v>9</v>
      </c>
      <c r="C51" s="1" t="s">
        <v>61</v>
      </c>
      <c r="D51" s="1" t="s">
        <v>61</v>
      </c>
    </row>
    <row r="52" spans="1:4">
      <c r="A52" s="2" t="s">
        <v>77</v>
      </c>
      <c r="B52" s="1" t="s">
        <v>9</v>
      </c>
      <c r="C52" s="1" t="s">
        <v>43</v>
      </c>
      <c r="D52" s="1" t="s">
        <v>43</v>
      </c>
    </row>
    <row r="53" spans="1:4">
      <c r="A53" s="2" t="s">
        <v>78</v>
      </c>
      <c r="B53" s="1" t="s">
        <v>9</v>
      </c>
      <c r="C53" s="1" t="s">
        <v>64</v>
      </c>
      <c r="D53" s="1" t="s">
        <v>64</v>
      </c>
    </row>
    <row r="54" spans="1:4">
      <c r="A54" s="2" t="s">
        <v>79</v>
      </c>
      <c r="B54" s="1" t="s">
        <v>9</v>
      </c>
      <c r="C54" s="1" t="s">
        <v>49</v>
      </c>
      <c r="D54" s="1" t="s">
        <v>49</v>
      </c>
    </row>
    <row r="55" spans="1:4">
      <c r="A55" s="2" t="s">
        <v>80</v>
      </c>
      <c r="B55" s="1" t="s">
        <v>9</v>
      </c>
      <c r="C55" s="1" t="s">
        <v>9</v>
      </c>
      <c r="D55" s="1" t="s">
        <v>9</v>
      </c>
    </row>
    <row r="56" spans="1:4">
      <c r="A56" s="2" t="s">
        <v>81</v>
      </c>
      <c r="B56" s="1" t="s">
        <v>9</v>
      </c>
      <c r="C56" s="1" t="s">
        <v>9</v>
      </c>
      <c r="D56" s="1" t="s">
        <v>9</v>
      </c>
    </row>
    <row r="57" spans="1:4">
      <c r="A57" s="2" t="s">
        <v>82</v>
      </c>
      <c r="B57" s="1" t="s">
        <v>9</v>
      </c>
      <c r="C57" s="1" t="s">
        <v>9</v>
      </c>
      <c r="D57" s="1" t="s">
        <v>9</v>
      </c>
    </row>
    <row r="58" spans="1:4">
      <c r="A58" s="2" t="s">
        <v>83</v>
      </c>
      <c r="B58" s="1" t="s">
        <v>9</v>
      </c>
      <c r="C58" s="1" t="s">
        <v>9</v>
      </c>
      <c r="D58" s="1" t="s">
        <v>9</v>
      </c>
    </row>
    <row r="59" spans="1:4">
      <c r="A59" s="2" t="s">
        <v>84</v>
      </c>
      <c r="B59" s="1" t="s">
        <v>9</v>
      </c>
      <c r="C59" s="1" t="s">
        <v>9</v>
      </c>
      <c r="D59" s="1" t="s">
        <v>9</v>
      </c>
    </row>
    <row r="60" spans="1:4">
      <c r="A60" s="2" t="s">
        <v>85</v>
      </c>
      <c r="B60" s="1" t="s">
        <v>9</v>
      </c>
      <c r="C60" s="1" t="s">
        <v>9</v>
      </c>
      <c r="D60" s="1" t="s">
        <v>9</v>
      </c>
    </row>
    <row r="61" spans="1:4">
      <c r="A61" s="2" t="s">
        <v>86</v>
      </c>
      <c r="B61" s="1" t="s">
        <v>9</v>
      </c>
      <c r="C61" s="1" t="s">
        <v>9</v>
      </c>
      <c r="D61" s="1" t="s">
        <v>9</v>
      </c>
    </row>
    <row r="62" spans="1:4">
      <c r="A62" s="2" t="s">
        <v>87</v>
      </c>
      <c r="B62" s="1" t="s">
        <v>9</v>
      </c>
      <c r="C62" s="1" t="s">
        <v>9</v>
      </c>
      <c r="D62" s="1" t="s">
        <v>9</v>
      </c>
    </row>
    <row r="63" spans="1:4">
      <c r="A63" s="2" t="s">
        <v>88</v>
      </c>
      <c r="B63" s="1" t="s">
        <v>9</v>
      </c>
      <c r="C63" s="1">
        <v>2</v>
      </c>
      <c r="D63" s="1">
        <v>2</v>
      </c>
    </row>
    <row r="64" spans="1:4">
      <c r="A64" s="2" t="s">
        <v>89</v>
      </c>
      <c r="B64" s="1" t="s">
        <v>9</v>
      </c>
      <c r="C64" s="1">
        <v>3</v>
      </c>
      <c r="D64" s="1">
        <v>3</v>
      </c>
    </row>
    <row r="65" spans="1:5">
      <c r="A65" s="2" t="s">
        <v>90</v>
      </c>
      <c r="B65" s="1" t="s">
        <v>9</v>
      </c>
      <c r="C65" s="1" t="s">
        <v>9</v>
      </c>
      <c r="D65" s="1" t="s">
        <v>9</v>
      </c>
    </row>
    <row r="66" spans="1:5">
      <c r="A66" s="2" t="s">
        <v>91</v>
      </c>
      <c r="B66" s="1" t="s">
        <v>9</v>
      </c>
      <c r="C66" s="1" t="s">
        <v>9</v>
      </c>
      <c r="D66" s="1" t="s">
        <v>9</v>
      </c>
    </row>
    <row r="67" spans="1:5">
      <c r="A67" s="2" t="s">
        <v>92</v>
      </c>
      <c r="B67" s="1" t="s">
        <v>9</v>
      </c>
      <c r="C67" s="1" t="s">
        <v>9</v>
      </c>
      <c r="D67" s="1" t="s">
        <v>9</v>
      </c>
    </row>
    <row r="68" spans="1:5">
      <c r="A68" s="2" t="s">
        <v>93</v>
      </c>
      <c r="B68" s="1" t="s">
        <v>9</v>
      </c>
      <c r="C68" s="1" t="s">
        <v>9</v>
      </c>
      <c r="D68" s="1" t="s">
        <v>9</v>
      </c>
    </row>
    <row r="69" spans="1:5">
      <c r="A69" s="2" t="s">
        <v>94</v>
      </c>
      <c r="B69" s="1" t="s">
        <v>9</v>
      </c>
      <c r="C69" s="1" t="s">
        <v>9</v>
      </c>
      <c r="D69" s="1" t="s">
        <v>9</v>
      </c>
    </row>
    <row r="70" spans="1:5">
      <c r="A70" s="2" t="s">
        <v>95</v>
      </c>
      <c r="B70" s="1" t="s">
        <v>9</v>
      </c>
      <c r="C70" s="1" t="s">
        <v>9</v>
      </c>
      <c r="D70" s="1" t="s">
        <v>9</v>
      </c>
    </row>
    <row r="71" spans="1:5">
      <c r="A71" s="2" t="s">
        <v>96</v>
      </c>
      <c r="B71" s="1" t="s">
        <v>9</v>
      </c>
      <c r="C71" s="1" t="s">
        <v>9</v>
      </c>
      <c r="D71" s="1" t="s">
        <v>9</v>
      </c>
    </row>
    <row r="72" spans="1:5">
      <c r="A72" s="2" t="s">
        <v>97</v>
      </c>
      <c r="B72" s="1" t="s">
        <v>9</v>
      </c>
      <c r="C72" s="1" t="s">
        <v>9</v>
      </c>
      <c r="D72" s="1" t="s">
        <v>9</v>
      </c>
    </row>
    <row r="73" spans="1:5">
      <c r="A73" s="2" t="s">
        <v>98</v>
      </c>
      <c r="B73" s="1" t="s">
        <v>9</v>
      </c>
      <c r="C73" s="1" t="s">
        <v>9</v>
      </c>
      <c r="D73" s="1" t="s">
        <v>9</v>
      </c>
    </row>
    <row r="74" spans="1:5">
      <c r="A74" s="2" t="s">
        <v>99</v>
      </c>
      <c r="B74" s="1" t="s">
        <v>9</v>
      </c>
      <c r="C74" s="1" t="s">
        <v>9</v>
      </c>
      <c r="D74" s="1" t="s">
        <v>9</v>
      </c>
    </row>
    <row r="75" spans="1:5">
      <c r="A75" s="2" t="s">
        <v>100</v>
      </c>
      <c r="B75" s="1" t="s">
        <v>9</v>
      </c>
      <c r="C75" s="1" t="s">
        <v>9</v>
      </c>
      <c r="D75" s="1" t="s">
        <v>9</v>
      </c>
    </row>
    <row r="76" spans="1:5" ht="24" customHeight="1">
      <c r="A76" s="2" t="s">
        <v>101</v>
      </c>
      <c r="B76" s="1">
        <v>5</v>
      </c>
      <c r="C76" s="1">
        <v>10</v>
      </c>
      <c r="D76" s="1">
        <v>14</v>
      </c>
      <c r="E76" s="11" t="s">
        <v>102</v>
      </c>
    </row>
    <row r="77" spans="1:5" ht="24" customHeight="1">
      <c r="A77" s="2" t="s">
        <v>103</v>
      </c>
      <c r="B77" s="1">
        <v>14</v>
      </c>
      <c r="C77" s="1">
        <v>11</v>
      </c>
      <c r="D77" s="1">
        <v>9</v>
      </c>
      <c r="E77" s="11"/>
    </row>
    <row r="78" spans="1:5" ht="24" customHeight="1">
      <c r="A78" s="2" t="s">
        <v>104</v>
      </c>
      <c r="B78" s="1">
        <v>27</v>
      </c>
      <c r="C78" s="1">
        <v>23</v>
      </c>
      <c r="D78" s="1">
        <v>21</v>
      </c>
      <c r="E78" s="11"/>
    </row>
    <row r="79" spans="1:5" ht="24" customHeight="1">
      <c r="A79" s="2" t="s">
        <v>105</v>
      </c>
      <c r="B79" s="1">
        <v>54</v>
      </c>
      <c r="C79" s="1">
        <v>56</v>
      </c>
      <c r="D79" s="1">
        <v>56</v>
      </c>
      <c r="E79" s="11"/>
    </row>
    <row r="80" spans="1:5" ht="24" customHeight="1">
      <c r="A80" s="2" t="s">
        <v>106</v>
      </c>
      <c r="B80" s="1" t="s">
        <v>9</v>
      </c>
      <c r="C80" s="1" t="s">
        <v>9</v>
      </c>
      <c r="D80" s="1" t="s">
        <v>9</v>
      </c>
      <c r="E80" s="11"/>
    </row>
    <row r="81" spans="1:5" ht="24" customHeight="1">
      <c r="A81" s="2" t="s">
        <v>107</v>
      </c>
      <c r="B81" s="1" t="s">
        <v>9</v>
      </c>
      <c r="C81" s="1" t="s">
        <v>9</v>
      </c>
      <c r="D81" s="1" t="s">
        <v>9</v>
      </c>
      <c r="E81" s="11"/>
    </row>
    <row r="82" spans="1:5" ht="30">
      <c r="A82" s="2" t="s">
        <v>108</v>
      </c>
      <c r="B82" s="1" t="s">
        <v>109</v>
      </c>
      <c r="C82" s="1" t="s">
        <v>109</v>
      </c>
      <c r="D82" s="1" t="s">
        <v>109</v>
      </c>
      <c r="E82" s="1" t="s">
        <v>110</v>
      </c>
    </row>
    <row r="83" spans="1:5" ht="60">
      <c r="A83" s="2" t="s">
        <v>111</v>
      </c>
      <c r="B83" s="1" t="s">
        <v>112</v>
      </c>
      <c r="C83" s="1" t="s">
        <v>113</v>
      </c>
      <c r="D83" s="1" t="s">
        <v>114</v>
      </c>
      <c r="E83" s="1" t="s">
        <v>115</v>
      </c>
    </row>
    <row r="84" spans="1:5" ht="30">
      <c r="A84" s="2" t="s">
        <v>116</v>
      </c>
      <c r="B84" s="1" t="s">
        <v>109</v>
      </c>
      <c r="C84" s="1" t="s">
        <v>109</v>
      </c>
      <c r="D84" s="1" t="s">
        <v>109</v>
      </c>
      <c r="E84" s="1" t="s">
        <v>110</v>
      </c>
    </row>
    <row r="85" spans="1:5">
      <c r="A85" s="2" t="s">
        <v>117</v>
      </c>
      <c r="B85" s="1" t="s">
        <v>9</v>
      </c>
      <c r="C85" s="1" t="s">
        <v>9</v>
      </c>
      <c r="D85" s="1" t="s">
        <v>9</v>
      </c>
    </row>
    <row r="86" spans="1:5">
      <c r="A86" s="2" t="s">
        <v>118</v>
      </c>
      <c r="B86" s="1" t="s">
        <v>9</v>
      </c>
      <c r="C86" s="1" t="s">
        <v>9</v>
      </c>
      <c r="D86" s="1" t="s">
        <v>9</v>
      </c>
    </row>
    <row r="87" spans="1:5">
      <c r="A87" s="2" t="s">
        <v>119</v>
      </c>
      <c r="B87" s="1" t="s">
        <v>9</v>
      </c>
      <c r="C87" s="1" t="s">
        <v>9</v>
      </c>
      <c r="D87" s="1" t="s">
        <v>9</v>
      </c>
    </row>
    <row r="88" spans="1:5">
      <c r="A88" s="2" t="s">
        <v>120</v>
      </c>
      <c r="B88" s="1" t="s">
        <v>9</v>
      </c>
      <c r="C88" s="1" t="s">
        <v>9</v>
      </c>
      <c r="D88" s="1" t="s">
        <v>9</v>
      </c>
    </row>
    <row r="89" spans="1:5">
      <c r="A89" s="2" t="s">
        <v>121</v>
      </c>
      <c r="B89" s="1" t="s">
        <v>9</v>
      </c>
      <c r="C89" s="1" t="s">
        <v>9</v>
      </c>
      <c r="D89" s="1" t="s">
        <v>9</v>
      </c>
    </row>
    <row r="90" spans="1:5">
      <c r="A90" s="2" t="s">
        <v>122</v>
      </c>
      <c r="B90" s="1" t="s">
        <v>9</v>
      </c>
      <c r="C90" s="1" t="s">
        <v>9</v>
      </c>
      <c r="D90" s="1" t="s">
        <v>9</v>
      </c>
    </row>
    <row r="91" spans="1:5" ht="24.75" customHeight="1">
      <c r="A91" s="4" t="s">
        <v>123</v>
      </c>
      <c r="B91" s="1">
        <v>16.100000000000001</v>
      </c>
      <c r="C91" s="1">
        <v>30.7</v>
      </c>
      <c r="D91" s="1">
        <v>36.9</v>
      </c>
      <c r="E91" s="11" t="s">
        <v>124</v>
      </c>
    </row>
    <row r="92" spans="1:5" ht="24.75" customHeight="1">
      <c r="A92" s="4" t="s">
        <v>125</v>
      </c>
      <c r="B92" s="1">
        <v>2.16</v>
      </c>
      <c r="C92" s="1">
        <v>0.97</v>
      </c>
      <c r="D92" s="1">
        <v>-2.5099999999999998</v>
      </c>
      <c r="E92" s="11"/>
    </row>
    <row r="93" spans="1:5" ht="24.75" customHeight="1">
      <c r="A93" s="4" t="s">
        <v>126</v>
      </c>
      <c r="B93" s="1">
        <v>0.21</v>
      </c>
      <c r="C93" s="1">
        <v>0.21</v>
      </c>
      <c r="D93" s="1">
        <v>0.2</v>
      </c>
      <c r="E93" s="11"/>
    </row>
    <row r="94" spans="1:5" ht="24.75" customHeight="1">
      <c r="A94" s="4" t="s">
        <v>127</v>
      </c>
      <c r="B94" s="1" t="s">
        <v>9</v>
      </c>
      <c r="C94" s="1" t="s">
        <v>9</v>
      </c>
      <c r="D94" s="1" t="s">
        <v>9</v>
      </c>
      <c r="E94" s="11"/>
    </row>
    <row r="95" spans="1:5" ht="180">
      <c r="A95" s="4" t="s">
        <v>128</v>
      </c>
      <c r="B95" s="1" t="s">
        <v>129</v>
      </c>
      <c r="C95" s="1" t="s">
        <v>130</v>
      </c>
      <c r="D95" s="1" t="s">
        <v>131</v>
      </c>
      <c r="E95" s="1" t="s">
        <v>132</v>
      </c>
    </row>
    <row r="96" spans="1:5">
      <c r="A96" s="4" t="s">
        <v>133</v>
      </c>
      <c r="B96" s="1">
        <v>2.8</v>
      </c>
      <c r="C96" s="1">
        <v>13.8</v>
      </c>
      <c r="D96" s="1">
        <v>20.100000000000001</v>
      </c>
      <c r="E96" s="11" t="s">
        <v>134</v>
      </c>
    </row>
    <row r="97" spans="1:5">
      <c r="A97" s="4" t="s">
        <v>135</v>
      </c>
      <c r="B97" s="1">
        <v>4.42</v>
      </c>
      <c r="C97" s="1">
        <v>2.58</v>
      </c>
      <c r="D97" s="1">
        <v>1.75</v>
      </c>
      <c r="E97" s="11"/>
    </row>
    <row r="98" spans="1:5">
      <c r="A98" s="4" t="s">
        <v>136</v>
      </c>
      <c r="B98" s="1">
        <v>0.6</v>
      </c>
      <c r="C98" s="1">
        <v>0.62</v>
      </c>
      <c r="D98" s="1">
        <v>0.62</v>
      </c>
      <c r="E98" s="11"/>
    </row>
    <row r="99" spans="1:5">
      <c r="A99" s="4" t="s">
        <v>137</v>
      </c>
      <c r="B99" s="1" t="s">
        <v>9</v>
      </c>
      <c r="C99" s="1" t="s">
        <v>9</v>
      </c>
      <c r="D99" s="1" t="s">
        <v>9</v>
      </c>
      <c r="E99" s="11"/>
    </row>
    <row r="100" spans="1:5" ht="180">
      <c r="A100" s="4" t="s">
        <v>138</v>
      </c>
      <c r="B100" s="5" t="s">
        <v>139</v>
      </c>
      <c r="C100" s="1" t="s">
        <v>140</v>
      </c>
      <c r="D100" s="1" t="s">
        <v>141</v>
      </c>
      <c r="E100" s="1" t="s">
        <v>132</v>
      </c>
    </row>
    <row r="101" spans="1:5">
      <c r="A101" s="2" t="s">
        <v>142</v>
      </c>
      <c r="B101" s="1" t="s">
        <v>9</v>
      </c>
      <c r="C101" s="1" t="s">
        <v>9</v>
      </c>
      <c r="D101" s="1" t="s">
        <v>9</v>
      </c>
    </row>
    <row r="102" spans="1:5">
      <c r="A102" s="2" t="s">
        <v>143</v>
      </c>
      <c r="B102" s="1" t="s">
        <v>9</v>
      </c>
      <c r="C102" s="1" t="s">
        <v>9</v>
      </c>
      <c r="D102" s="1" t="s">
        <v>9</v>
      </c>
    </row>
    <row r="103" spans="1:5">
      <c r="A103" s="2" t="s">
        <v>144</v>
      </c>
      <c r="B103" s="1" t="s">
        <v>9</v>
      </c>
      <c r="C103" s="1" t="s">
        <v>9</v>
      </c>
      <c r="D103" s="1" t="s">
        <v>9</v>
      </c>
    </row>
  </sheetData>
  <mergeCells count="6">
    <mergeCell ref="E91:E94"/>
    <mergeCell ref="E96:E99"/>
    <mergeCell ref="E9:E10"/>
    <mergeCell ref="E17:E18"/>
    <mergeCell ref="E25:E26"/>
    <mergeCell ref="E76:E81"/>
  </mergeCells>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A2747-D919-4527-A505-B9EF86B58619}">
  <dimension ref="A1:F96"/>
  <sheetViews>
    <sheetView tabSelected="1" topLeftCell="A60" zoomScale="115" zoomScaleNormal="115" workbookViewId="0">
      <pane xSplit="1" topLeftCell="B1" activePane="topRight" state="frozen"/>
      <selection pane="topRight" activeCell="C20" sqref="C20"/>
      <selection activeCell="A72" sqref="A72"/>
    </sheetView>
  </sheetViews>
  <sheetFormatPr defaultRowHeight="15"/>
  <cols>
    <col min="1" max="1" width="40.140625" style="1" customWidth="1"/>
    <col min="2" max="6" width="39" style="9" customWidth="1"/>
    <col min="7" max="16384" width="9.140625" style="9"/>
  </cols>
  <sheetData>
    <row r="1" spans="1:6">
      <c r="A1" s="2" t="s">
        <v>0</v>
      </c>
      <c r="B1" s="9" t="s">
        <v>145</v>
      </c>
      <c r="C1" s="9" t="s">
        <v>146</v>
      </c>
      <c r="D1" s="9" t="s">
        <v>147</v>
      </c>
      <c r="E1" s="9" t="s">
        <v>148</v>
      </c>
      <c r="F1" s="9" t="s">
        <v>149</v>
      </c>
    </row>
    <row r="2" spans="1:6">
      <c r="A2" s="2" t="s">
        <v>5</v>
      </c>
      <c r="B2" s="9" t="s">
        <v>6</v>
      </c>
      <c r="C2" s="9" t="s">
        <v>6</v>
      </c>
      <c r="D2" s="9" t="s">
        <v>6</v>
      </c>
      <c r="E2" s="9" t="s">
        <v>6</v>
      </c>
      <c r="F2" s="9" t="s">
        <v>6</v>
      </c>
    </row>
    <row r="3" spans="1:6">
      <c r="A3" s="2" t="s">
        <v>8</v>
      </c>
      <c r="B3" s="9" t="s">
        <v>9</v>
      </c>
      <c r="C3" s="9" t="s">
        <v>9</v>
      </c>
      <c r="D3" s="9" t="s">
        <v>9</v>
      </c>
      <c r="E3" s="9" t="s">
        <v>9</v>
      </c>
      <c r="F3" s="9" t="s">
        <v>9</v>
      </c>
    </row>
    <row r="4" spans="1:6">
      <c r="A4" s="2" t="s">
        <v>10</v>
      </c>
      <c r="B4" s="9" t="s">
        <v>150</v>
      </c>
      <c r="C4" s="9" t="s">
        <v>150</v>
      </c>
      <c r="D4" s="9" t="s">
        <v>150</v>
      </c>
      <c r="E4" s="9" t="s">
        <v>150</v>
      </c>
      <c r="F4" s="9" t="s">
        <v>150</v>
      </c>
    </row>
    <row r="5" spans="1:6">
      <c r="A5" s="2" t="s">
        <v>11</v>
      </c>
      <c r="B5" s="9" t="s">
        <v>9</v>
      </c>
      <c r="C5" s="9" t="s">
        <v>9</v>
      </c>
      <c r="D5" s="9" t="s">
        <v>9</v>
      </c>
      <c r="E5" s="9" t="s">
        <v>9</v>
      </c>
      <c r="F5" s="9" t="s">
        <v>9</v>
      </c>
    </row>
    <row r="6" spans="1:6">
      <c r="A6" s="2" t="s">
        <v>12</v>
      </c>
      <c r="B6" s="9" t="s">
        <v>9</v>
      </c>
      <c r="C6" s="9" t="s">
        <v>9</v>
      </c>
      <c r="D6" s="9" t="s">
        <v>9</v>
      </c>
      <c r="E6" s="9" t="s">
        <v>9</v>
      </c>
      <c r="F6" s="9" t="s">
        <v>9</v>
      </c>
    </row>
    <row r="7" spans="1:6">
      <c r="A7" s="2" t="s">
        <v>13</v>
      </c>
      <c r="B7" s="9" t="s">
        <v>9</v>
      </c>
      <c r="C7" s="9" t="s">
        <v>9</v>
      </c>
      <c r="D7" s="9" t="s">
        <v>9</v>
      </c>
      <c r="E7" s="9" t="s">
        <v>9</v>
      </c>
      <c r="F7" s="9" t="s">
        <v>9</v>
      </c>
    </row>
    <row r="8" spans="1:6" ht="30">
      <c r="A8" s="2" t="s">
        <v>14</v>
      </c>
      <c r="B8" s="9" t="s">
        <v>151</v>
      </c>
      <c r="C8" s="9" t="s">
        <v>151</v>
      </c>
      <c r="D8" s="9" t="s">
        <v>151</v>
      </c>
      <c r="E8" s="9" t="s">
        <v>151</v>
      </c>
      <c r="F8" s="9" t="s">
        <v>151</v>
      </c>
    </row>
    <row r="9" spans="1:6">
      <c r="A9" s="2" t="s">
        <v>17</v>
      </c>
      <c r="B9" s="9">
        <v>200</v>
      </c>
      <c r="C9" s="9">
        <v>200</v>
      </c>
      <c r="D9" s="9">
        <v>200</v>
      </c>
      <c r="E9" s="9">
        <v>200</v>
      </c>
      <c r="F9" s="9">
        <v>200</v>
      </c>
    </row>
    <row r="10" spans="1:6">
      <c r="A10" s="2" t="s">
        <v>19</v>
      </c>
      <c r="B10" s="9" t="s">
        <v>20</v>
      </c>
      <c r="C10" s="9" t="s">
        <v>20</v>
      </c>
      <c r="D10" s="9" t="s">
        <v>20</v>
      </c>
      <c r="E10" s="9" t="s">
        <v>20</v>
      </c>
      <c r="F10" s="9" t="s">
        <v>20</v>
      </c>
    </row>
    <row r="11" spans="1:6">
      <c r="A11" s="2" t="s">
        <v>21</v>
      </c>
      <c r="B11" s="9" t="s">
        <v>9</v>
      </c>
      <c r="C11" s="9" t="s">
        <v>9</v>
      </c>
      <c r="D11" s="9" t="s">
        <v>9</v>
      </c>
      <c r="E11" s="9" t="s">
        <v>9</v>
      </c>
      <c r="F11" s="9" t="s">
        <v>9</v>
      </c>
    </row>
    <row r="12" spans="1:6">
      <c r="A12" s="2" t="s">
        <v>22</v>
      </c>
      <c r="B12" s="9" t="s">
        <v>9</v>
      </c>
      <c r="C12" s="9" t="s">
        <v>9</v>
      </c>
      <c r="D12" s="9" t="s">
        <v>9</v>
      </c>
      <c r="E12" s="9" t="s">
        <v>9</v>
      </c>
      <c r="F12" s="9" t="s">
        <v>9</v>
      </c>
    </row>
    <row r="13" spans="1:6">
      <c r="A13" s="2" t="s">
        <v>23</v>
      </c>
      <c r="B13" s="9" t="s">
        <v>9</v>
      </c>
      <c r="C13" s="9" t="s">
        <v>9</v>
      </c>
      <c r="D13" s="9" t="s">
        <v>9</v>
      </c>
      <c r="E13" s="9" t="s">
        <v>9</v>
      </c>
      <c r="F13" s="9" t="s">
        <v>9</v>
      </c>
    </row>
    <row r="14" spans="1:6">
      <c r="A14" s="2" t="s">
        <v>24</v>
      </c>
      <c r="B14" s="9" t="s">
        <v>9</v>
      </c>
      <c r="C14" s="9" t="s">
        <v>9</v>
      </c>
      <c r="D14" s="9" t="s">
        <v>9</v>
      </c>
      <c r="E14" s="9" t="s">
        <v>9</v>
      </c>
      <c r="F14" s="9" t="s">
        <v>9</v>
      </c>
    </row>
    <row r="15" spans="1:6">
      <c r="A15" s="2" t="s">
        <v>25</v>
      </c>
      <c r="B15" s="9" t="b">
        <v>1</v>
      </c>
      <c r="C15" s="9" t="b">
        <v>1</v>
      </c>
      <c r="D15" s="9" t="b">
        <v>1</v>
      </c>
      <c r="E15" s="9" t="b">
        <v>1</v>
      </c>
      <c r="F15" s="9" t="b">
        <v>1</v>
      </c>
    </row>
    <row r="16" spans="1:6">
      <c r="A16" s="2" t="s">
        <v>27</v>
      </c>
      <c r="B16" s="9" t="s">
        <v>9</v>
      </c>
      <c r="C16" s="9" t="s">
        <v>9</v>
      </c>
      <c r="D16" s="9" t="s">
        <v>9</v>
      </c>
      <c r="E16" s="9" t="s">
        <v>9</v>
      </c>
      <c r="F16" s="9" t="s">
        <v>9</v>
      </c>
    </row>
    <row r="17" spans="1:6">
      <c r="A17" s="2" t="s">
        <v>28</v>
      </c>
      <c r="B17" s="9">
        <v>20</v>
      </c>
      <c r="C17" s="9">
        <v>20</v>
      </c>
      <c r="D17" s="9">
        <v>20</v>
      </c>
      <c r="E17" s="9">
        <v>20</v>
      </c>
      <c r="F17" s="9">
        <v>20</v>
      </c>
    </row>
    <row r="18" spans="1:6">
      <c r="A18" s="2" t="s">
        <v>30</v>
      </c>
      <c r="B18" s="9" t="s">
        <v>31</v>
      </c>
      <c r="C18" s="9" t="s">
        <v>31</v>
      </c>
      <c r="D18" s="9" t="s">
        <v>31</v>
      </c>
      <c r="E18" s="9" t="s">
        <v>31</v>
      </c>
      <c r="F18" s="9" t="s">
        <v>31</v>
      </c>
    </row>
    <row r="19" spans="1:6" ht="30">
      <c r="A19" s="2" t="s">
        <v>32</v>
      </c>
      <c r="B19" s="10">
        <f>B20</f>
        <v>3.278688524590164</v>
      </c>
      <c r="C19" s="10" t="e">
        <f>C20</f>
        <v>#VALUE!</v>
      </c>
      <c r="D19" s="10" t="e">
        <f>D20</f>
        <v>#VALUE!</v>
      </c>
      <c r="E19" s="10" t="e">
        <f>E20</f>
        <v>#VALUE!</v>
      </c>
      <c r="F19" s="10">
        <f>F20</f>
        <v>1.1560693641618496</v>
      </c>
    </row>
    <row r="20" spans="1:6">
      <c r="A20" s="2" t="s">
        <v>33</v>
      </c>
      <c r="B20" s="10">
        <f>B17/B21</f>
        <v>3.278688524590164</v>
      </c>
      <c r="C20" s="10" t="e">
        <f>C17/C21</f>
        <v>#VALUE!</v>
      </c>
      <c r="D20" s="10" t="e">
        <f>D17/D21</f>
        <v>#VALUE!</v>
      </c>
      <c r="E20" s="10" t="e">
        <f>E17/E21</f>
        <v>#VALUE!</v>
      </c>
      <c r="F20" s="10">
        <f>F17/F21</f>
        <v>1.1560693641618496</v>
      </c>
    </row>
    <row r="21" spans="1:6">
      <c r="A21" s="2" t="s">
        <v>34</v>
      </c>
      <c r="B21" s="9">
        <v>6.1</v>
      </c>
      <c r="C21" s="9" t="s">
        <v>9</v>
      </c>
      <c r="D21" s="9" t="s">
        <v>9</v>
      </c>
      <c r="E21" s="9" t="s">
        <v>9</v>
      </c>
      <c r="F21" s="9">
        <v>17.3</v>
      </c>
    </row>
    <row r="22" spans="1:6" ht="30">
      <c r="A22" s="2" t="s">
        <v>35</v>
      </c>
      <c r="B22" s="9" t="s">
        <v>152</v>
      </c>
      <c r="C22" s="9" t="s">
        <v>152</v>
      </c>
      <c r="D22" s="9" t="s">
        <v>152</v>
      </c>
      <c r="E22" s="9" t="s">
        <v>152</v>
      </c>
      <c r="F22" s="9" t="s">
        <v>152</v>
      </c>
    </row>
    <row r="23" spans="1:6">
      <c r="A23" s="2" t="s">
        <v>39</v>
      </c>
      <c r="B23" s="9" t="s">
        <v>41</v>
      </c>
      <c r="C23" s="9" t="s">
        <v>41</v>
      </c>
      <c r="D23" s="9" t="s">
        <v>41</v>
      </c>
      <c r="E23" s="9" t="s">
        <v>41</v>
      </c>
      <c r="F23" s="9" t="s">
        <v>41</v>
      </c>
    </row>
    <row r="24" spans="1:6" ht="30">
      <c r="A24" s="2" t="s">
        <v>42</v>
      </c>
      <c r="B24" s="9" t="s">
        <v>153</v>
      </c>
      <c r="C24" s="9" t="s">
        <v>153</v>
      </c>
      <c r="D24" s="9" t="s">
        <v>153</v>
      </c>
      <c r="E24" s="9" t="s">
        <v>153</v>
      </c>
      <c r="F24" s="9" t="s">
        <v>153</v>
      </c>
    </row>
    <row r="25" spans="1:6" ht="30">
      <c r="A25" s="2" t="s">
        <v>44</v>
      </c>
      <c r="B25" s="9" t="s">
        <v>154</v>
      </c>
      <c r="C25" s="9" t="s">
        <v>154</v>
      </c>
      <c r="D25" s="9" t="s">
        <v>154</v>
      </c>
      <c r="E25" s="9" t="s">
        <v>154</v>
      </c>
      <c r="F25" s="9" t="s">
        <v>154</v>
      </c>
    </row>
    <row r="26" spans="1:6">
      <c r="A26" s="2" t="s">
        <v>48</v>
      </c>
      <c r="B26" s="9" t="s">
        <v>9</v>
      </c>
      <c r="C26" s="9" t="s">
        <v>9</v>
      </c>
      <c r="D26" s="9" t="s">
        <v>9</v>
      </c>
      <c r="E26" s="9" t="s">
        <v>9</v>
      </c>
      <c r="F26" s="9" t="s">
        <v>9</v>
      </c>
    </row>
    <row r="27" spans="1:6">
      <c r="A27" s="2" t="s">
        <v>50</v>
      </c>
      <c r="B27" s="9" t="s">
        <v>9</v>
      </c>
      <c r="C27" s="9" t="s">
        <v>9</v>
      </c>
      <c r="D27" s="9" t="s">
        <v>9</v>
      </c>
      <c r="E27" s="9" t="s">
        <v>9</v>
      </c>
      <c r="F27" s="9" t="s">
        <v>9</v>
      </c>
    </row>
    <row r="28" spans="1:6">
      <c r="A28" s="2" t="s">
        <v>51</v>
      </c>
      <c r="B28" s="9" t="s">
        <v>9</v>
      </c>
      <c r="C28" s="9" t="s">
        <v>9</v>
      </c>
      <c r="D28" s="9" t="s">
        <v>9</v>
      </c>
      <c r="E28" s="9" t="s">
        <v>9</v>
      </c>
      <c r="F28" s="9" t="s">
        <v>9</v>
      </c>
    </row>
    <row r="29" spans="1:6">
      <c r="A29" s="2" t="s">
        <v>52</v>
      </c>
      <c r="B29" s="9" t="s">
        <v>9</v>
      </c>
      <c r="C29" s="9" t="s">
        <v>9</v>
      </c>
      <c r="D29" s="9" t="s">
        <v>9</v>
      </c>
      <c r="E29" s="9" t="s">
        <v>9</v>
      </c>
      <c r="F29" s="9" t="s">
        <v>9</v>
      </c>
    </row>
    <row r="30" spans="1:6">
      <c r="A30" s="2" t="s">
        <v>53</v>
      </c>
      <c r="B30" s="9" t="s">
        <v>9</v>
      </c>
      <c r="C30" s="9" t="s">
        <v>9</v>
      </c>
      <c r="D30" s="9" t="s">
        <v>9</v>
      </c>
      <c r="E30" s="9" t="s">
        <v>9</v>
      </c>
      <c r="F30" s="9" t="s">
        <v>9</v>
      </c>
    </row>
    <row r="31" spans="1:6">
      <c r="A31" s="2" t="s">
        <v>54</v>
      </c>
      <c r="B31" s="9" t="s">
        <v>9</v>
      </c>
      <c r="C31" s="9" t="s">
        <v>9</v>
      </c>
      <c r="D31" s="9" t="s">
        <v>9</v>
      </c>
      <c r="E31" s="9" t="s">
        <v>9</v>
      </c>
      <c r="F31" s="9" t="s">
        <v>9</v>
      </c>
    </row>
    <row r="32" spans="1:6">
      <c r="A32" s="2" t="s">
        <v>55</v>
      </c>
      <c r="B32" s="9" t="s">
        <v>9</v>
      </c>
      <c r="C32" s="9" t="s">
        <v>9</v>
      </c>
      <c r="D32" s="9" t="s">
        <v>9</v>
      </c>
      <c r="E32" s="9" t="s">
        <v>9</v>
      </c>
      <c r="F32" s="9" t="s">
        <v>9</v>
      </c>
    </row>
    <row r="33" spans="1:6">
      <c r="A33" s="2" t="s">
        <v>56</v>
      </c>
      <c r="B33" s="9" t="s">
        <v>9</v>
      </c>
      <c r="C33" s="9" t="s">
        <v>9</v>
      </c>
      <c r="D33" s="9" t="s">
        <v>9</v>
      </c>
      <c r="E33" s="9" t="s">
        <v>9</v>
      </c>
      <c r="F33" s="9" t="s">
        <v>9</v>
      </c>
    </row>
    <row r="34" spans="1:6">
      <c r="A34" s="2" t="s">
        <v>57</v>
      </c>
      <c r="B34" s="9">
        <v>0.8</v>
      </c>
      <c r="C34" s="9">
        <v>0.8</v>
      </c>
      <c r="D34" s="9">
        <v>0.8</v>
      </c>
      <c r="E34" s="9">
        <v>0.8</v>
      </c>
      <c r="F34" s="9">
        <v>0.8</v>
      </c>
    </row>
    <row r="35" spans="1:6">
      <c r="A35" s="2" t="s">
        <v>58</v>
      </c>
      <c r="B35" s="9">
        <v>4</v>
      </c>
      <c r="C35" s="9">
        <v>8</v>
      </c>
      <c r="D35" s="9">
        <v>12</v>
      </c>
      <c r="E35" s="9">
        <v>16</v>
      </c>
      <c r="F35" s="9">
        <v>20</v>
      </c>
    </row>
    <row r="36" spans="1:6">
      <c r="A36" s="4" t="s">
        <v>59</v>
      </c>
      <c r="B36" s="9">
        <v>1</v>
      </c>
      <c r="C36" s="9">
        <v>1</v>
      </c>
      <c r="D36" s="9">
        <v>1</v>
      </c>
      <c r="E36" s="9">
        <v>1</v>
      </c>
      <c r="F36" s="9">
        <v>1</v>
      </c>
    </row>
    <row r="37" spans="1:6">
      <c r="A37" s="2" t="s">
        <v>60</v>
      </c>
      <c r="B37" s="9" t="s">
        <v>61</v>
      </c>
      <c r="C37" s="9" t="s">
        <v>61</v>
      </c>
      <c r="D37" s="9" t="s">
        <v>61</v>
      </c>
      <c r="E37" s="9" t="s">
        <v>61</v>
      </c>
      <c r="F37" s="9" t="s">
        <v>61</v>
      </c>
    </row>
    <row r="38" spans="1:6" ht="30">
      <c r="A38" s="2" t="s">
        <v>62</v>
      </c>
      <c r="B38" s="9" t="s">
        <v>153</v>
      </c>
      <c r="C38" s="9" t="s">
        <v>153</v>
      </c>
      <c r="D38" s="9" t="s">
        <v>153</v>
      </c>
      <c r="E38" s="9" t="s">
        <v>153</v>
      </c>
      <c r="F38" s="9" t="s">
        <v>153</v>
      </c>
    </row>
    <row r="39" spans="1:6">
      <c r="A39" s="2" t="s">
        <v>63</v>
      </c>
      <c r="B39" s="9" t="s">
        <v>155</v>
      </c>
      <c r="C39" s="9" t="s">
        <v>155</v>
      </c>
      <c r="D39" s="9" t="s">
        <v>155</v>
      </c>
      <c r="E39" s="9" t="s">
        <v>155</v>
      </c>
      <c r="F39" s="9" t="s">
        <v>155</v>
      </c>
    </row>
    <row r="40" spans="1:6">
      <c r="A40" s="2" t="s">
        <v>65</v>
      </c>
      <c r="B40" s="9" t="s">
        <v>156</v>
      </c>
      <c r="C40" s="9" t="s">
        <v>156</v>
      </c>
      <c r="D40" s="9" t="s">
        <v>156</v>
      </c>
      <c r="E40" s="9" t="s">
        <v>156</v>
      </c>
      <c r="F40" s="9" t="s">
        <v>156</v>
      </c>
    </row>
    <row r="41" spans="1:6">
      <c r="A41" s="2" t="s">
        <v>66</v>
      </c>
      <c r="B41" s="9" t="s">
        <v>9</v>
      </c>
      <c r="C41" s="9" t="s">
        <v>9</v>
      </c>
      <c r="D41" s="9" t="s">
        <v>9</v>
      </c>
      <c r="E41" s="9" t="s">
        <v>9</v>
      </c>
      <c r="F41" s="9" t="s">
        <v>9</v>
      </c>
    </row>
    <row r="42" spans="1:6">
      <c r="A42" s="2" t="s">
        <v>67</v>
      </c>
      <c r="B42" s="9" t="s">
        <v>9</v>
      </c>
      <c r="C42" s="9" t="s">
        <v>9</v>
      </c>
      <c r="D42" s="9" t="s">
        <v>9</v>
      </c>
      <c r="E42" s="9" t="s">
        <v>9</v>
      </c>
      <c r="F42" s="9" t="s">
        <v>9</v>
      </c>
    </row>
    <row r="43" spans="1:6">
      <c r="A43" s="2" t="s">
        <v>68</v>
      </c>
      <c r="B43" s="9" t="s">
        <v>9</v>
      </c>
      <c r="C43" s="9" t="s">
        <v>9</v>
      </c>
      <c r="D43" s="9" t="s">
        <v>9</v>
      </c>
      <c r="E43" s="9" t="s">
        <v>9</v>
      </c>
      <c r="F43" s="9" t="s">
        <v>9</v>
      </c>
    </row>
    <row r="44" spans="1:6">
      <c r="A44" s="2" t="s">
        <v>69</v>
      </c>
      <c r="B44" s="9" t="s">
        <v>9</v>
      </c>
      <c r="C44" s="9" t="s">
        <v>9</v>
      </c>
      <c r="D44" s="9" t="s">
        <v>9</v>
      </c>
      <c r="E44" s="9" t="s">
        <v>9</v>
      </c>
      <c r="F44" s="9" t="s">
        <v>9</v>
      </c>
    </row>
    <row r="45" spans="1:6">
      <c r="A45" s="2" t="s">
        <v>70</v>
      </c>
      <c r="B45" s="9" t="s">
        <v>9</v>
      </c>
      <c r="C45" s="9" t="s">
        <v>9</v>
      </c>
      <c r="D45" s="9" t="s">
        <v>9</v>
      </c>
      <c r="E45" s="9" t="s">
        <v>9</v>
      </c>
      <c r="F45" s="9" t="s">
        <v>9</v>
      </c>
    </row>
    <row r="46" spans="1:6">
      <c r="A46" s="2" t="s">
        <v>71</v>
      </c>
      <c r="B46" s="9" t="s">
        <v>9</v>
      </c>
      <c r="C46" s="9" t="s">
        <v>9</v>
      </c>
      <c r="D46" s="9" t="s">
        <v>9</v>
      </c>
      <c r="E46" s="9" t="s">
        <v>9</v>
      </c>
      <c r="F46" s="9" t="s">
        <v>9</v>
      </c>
    </row>
    <row r="47" spans="1:6">
      <c r="A47" s="2" t="s">
        <v>72</v>
      </c>
      <c r="B47" s="9" t="s">
        <v>9</v>
      </c>
      <c r="C47" s="9" t="s">
        <v>9</v>
      </c>
      <c r="D47" s="9" t="s">
        <v>9</v>
      </c>
      <c r="E47" s="9" t="s">
        <v>9</v>
      </c>
      <c r="F47" s="9" t="s">
        <v>9</v>
      </c>
    </row>
    <row r="48" spans="1:6">
      <c r="A48" s="2" t="s">
        <v>73</v>
      </c>
      <c r="B48" s="9">
        <v>2.2000000000000002</v>
      </c>
      <c r="C48" s="9">
        <v>2.2000000000000002</v>
      </c>
      <c r="D48" s="9">
        <v>2.2000000000000002</v>
      </c>
      <c r="E48" s="9">
        <v>2.2000000000000002</v>
      </c>
      <c r="F48" s="9">
        <v>2.2000000000000002</v>
      </c>
    </row>
    <row r="49" spans="1:6">
      <c r="A49" s="2" t="s">
        <v>74</v>
      </c>
      <c r="B49" s="9">
        <v>1</v>
      </c>
      <c r="C49" s="9">
        <v>1</v>
      </c>
      <c r="D49" s="9">
        <v>1</v>
      </c>
      <c r="E49" s="9">
        <v>1</v>
      </c>
      <c r="F49" s="9">
        <v>1</v>
      </c>
    </row>
    <row r="50" spans="1:6">
      <c r="A50" s="2" t="s">
        <v>75</v>
      </c>
      <c r="B50" s="9">
        <v>2</v>
      </c>
      <c r="C50" s="9">
        <v>2</v>
      </c>
      <c r="D50" s="9">
        <v>2</v>
      </c>
      <c r="E50" s="9">
        <v>2</v>
      </c>
      <c r="F50" s="9">
        <v>2</v>
      </c>
    </row>
    <row r="51" spans="1:6">
      <c r="A51" s="2" t="s">
        <v>76</v>
      </c>
      <c r="B51" s="9" t="s">
        <v>157</v>
      </c>
      <c r="C51" s="9" t="s">
        <v>157</v>
      </c>
      <c r="D51" s="9" t="s">
        <v>157</v>
      </c>
      <c r="E51" s="9" t="s">
        <v>157</v>
      </c>
      <c r="F51" s="9" t="s">
        <v>157</v>
      </c>
    </row>
    <row r="52" spans="1:6" ht="30">
      <c r="A52" s="2" t="s">
        <v>77</v>
      </c>
      <c r="B52" s="9" t="s">
        <v>153</v>
      </c>
      <c r="C52" s="9" t="s">
        <v>153</v>
      </c>
      <c r="D52" s="9" t="s">
        <v>153</v>
      </c>
      <c r="E52" s="9" t="s">
        <v>153</v>
      </c>
      <c r="F52" s="9" t="s">
        <v>153</v>
      </c>
    </row>
    <row r="53" spans="1:6">
      <c r="A53" s="2" t="s">
        <v>78</v>
      </c>
      <c r="B53" s="9" t="s">
        <v>158</v>
      </c>
      <c r="C53" s="9" t="s">
        <v>158</v>
      </c>
      <c r="D53" s="9" t="s">
        <v>158</v>
      </c>
      <c r="E53" s="9" t="s">
        <v>158</v>
      </c>
      <c r="F53" s="9" t="s">
        <v>158</v>
      </c>
    </row>
    <row r="54" spans="1:6">
      <c r="A54" s="2" t="s">
        <v>79</v>
      </c>
      <c r="B54" s="9" t="s">
        <v>156</v>
      </c>
      <c r="C54" s="9" t="s">
        <v>156</v>
      </c>
      <c r="D54" s="9" t="s">
        <v>156</v>
      </c>
      <c r="E54" s="9" t="s">
        <v>156</v>
      </c>
      <c r="F54" s="9" t="s">
        <v>156</v>
      </c>
    </row>
    <row r="55" spans="1:6">
      <c r="A55" s="2" t="s">
        <v>80</v>
      </c>
      <c r="B55" s="9" t="s">
        <v>9</v>
      </c>
      <c r="C55" s="9" t="s">
        <v>9</v>
      </c>
      <c r="D55" s="9" t="s">
        <v>9</v>
      </c>
      <c r="E55" s="9" t="s">
        <v>9</v>
      </c>
      <c r="F55" s="9" t="s">
        <v>9</v>
      </c>
    </row>
    <row r="56" spans="1:6">
      <c r="A56" s="2" t="s">
        <v>81</v>
      </c>
      <c r="B56" s="9" t="s">
        <v>9</v>
      </c>
      <c r="C56" s="9" t="s">
        <v>9</v>
      </c>
      <c r="D56" s="9" t="s">
        <v>9</v>
      </c>
      <c r="E56" s="9" t="s">
        <v>9</v>
      </c>
      <c r="F56" s="9" t="s">
        <v>9</v>
      </c>
    </row>
    <row r="57" spans="1:6">
      <c r="A57" s="2" t="s">
        <v>82</v>
      </c>
      <c r="B57" s="9" t="s">
        <v>9</v>
      </c>
      <c r="C57" s="9" t="s">
        <v>9</v>
      </c>
      <c r="D57" s="9" t="s">
        <v>9</v>
      </c>
      <c r="E57" s="9" t="s">
        <v>9</v>
      </c>
      <c r="F57" s="9" t="s">
        <v>9</v>
      </c>
    </row>
    <row r="58" spans="1:6">
      <c r="A58" s="2" t="s">
        <v>83</v>
      </c>
      <c r="B58" s="9" t="s">
        <v>9</v>
      </c>
      <c r="C58" s="9" t="s">
        <v>9</v>
      </c>
      <c r="D58" s="9" t="s">
        <v>9</v>
      </c>
      <c r="E58" s="9" t="s">
        <v>9</v>
      </c>
      <c r="F58" s="9" t="s">
        <v>9</v>
      </c>
    </row>
    <row r="59" spans="1:6">
      <c r="A59" s="2" t="s">
        <v>84</v>
      </c>
      <c r="B59" s="9" t="s">
        <v>9</v>
      </c>
      <c r="C59" s="9" t="s">
        <v>9</v>
      </c>
      <c r="D59" s="9" t="s">
        <v>9</v>
      </c>
      <c r="E59" s="9" t="s">
        <v>9</v>
      </c>
      <c r="F59" s="9" t="s">
        <v>9</v>
      </c>
    </row>
    <row r="60" spans="1:6">
      <c r="A60" s="2" t="s">
        <v>85</v>
      </c>
      <c r="B60" s="9" t="s">
        <v>9</v>
      </c>
      <c r="C60" s="9" t="s">
        <v>9</v>
      </c>
      <c r="D60" s="9" t="s">
        <v>9</v>
      </c>
      <c r="E60" s="9" t="s">
        <v>9</v>
      </c>
      <c r="F60" s="9" t="s">
        <v>9</v>
      </c>
    </row>
    <row r="61" spans="1:6">
      <c r="A61" s="2" t="s">
        <v>86</v>
      </c>
      <c r="B61" s="9" t="s">
        <v>9</v>
      </c>
      <c r="C61" s="9" t="s">
        <v>9</v>
      </c>
      <c r="D61" s="9" t="s">
        <v>9</v>
      </c>
      <c r="E61" s="9" t="s">
        <v>9</v>
      </c>
      <c r="F61" s="9" t="s">
        <v>9</v>
      </c>
    </row>
    <row r="62" spans="1:6">
      <c r="A62" s="2" t="s">
        <v>87</v>
      </c>
      <c r="B62" s="9">
        <v>1.2</v>
      </c>
      <c r="C62" s="9">
        <v>1.2</v>
      </c>
      <c r="D62" s="9">
        <v>1.2</v>
      </c>
      <c r="E62" s="9">
        <v>1.2</v>
      </c>
      <c r="F62" s="9">
        <v>1.2</v>
      </c>
    </row>
    <row r="63" spans="1:6">
      <c r="A63" s="2" t="s">
        <v>88</v>
      </c>
      <c r="B63" s="9">
        <v>1</v>
      </c>
      <c r="C63" s="9">
        <v>1</v>
      </c>
      <c r="D63" s="9">
        <v>1</v>
      </c>
      <c r="E63" s="9">
        <v>1</v>
      </c>
      <c r="F63" s="9">
        <v>1</v>
      </c>
    </row>
    <row r="64" spans="1:6">
      <c r="A64" s="2" t="s">
        <v>89</v>
      </c>
      <c r="B64" s="9">
        <v>3</v>
      </c>
      <c r="C64" s="9">
        <v>3</v>
      </c>
      <c r="D64" s="9">
        <v>3</v>
      </c>
      <c r="E64" s="9">
        <v>3</v>
      </c>
      <c r="F64" s="9">
        <v>3</v>
      </c>
    </row>
    <row r="65" spans="1:6">
      <c r="A65" s="2" t="s">
        <v>90</v>
      </c>
      <c r="B65" s="9" t="s">
        <v>9</v>
      </c>
      <c r="C65" s="9" t="s">
        <v>9</v>
      </c>
      <c r="D65" s="9" t="s">
        <v>9</v>
      </c>
      <c r="E65" s="9" t="s">
        <v>9</v>
      </c>
      <c r="F65" s="9" t="s">
        <v>9</v>
      </c>
    </row>
    <row r="66" spans="1:6">
      <c r="A66" s="2" t="s">
        <v>91</v>
      </c>
      <c r="B66" s="9" t="s">
        <v>159</v>
      </c>
      <c r="C66" s="9" t="s">
        <v>160</v>
      </c>
      <c r="D66" s="9" t="s">
        <v>161</v>
      </c>
      <c r="E66" s="9" t="s">
        <v>162</v>
      </c>
      <c r="F66" s="9" t="s">
        <v>163</v>
      </c>
    </row>
    <row r="67" spans="1:6">
      <c r="A67" s="2" t="s">
        <v>92</v>
      </c>
      <c r="B67" s="9">
        <v>3.6</v>
      </c>
      <c r="C67" s="9">
        <v>8.5</v>
      </c>
      <c r="D67" s="9">
        <v>9.6</v>
      </c>
      <c r="E67" s="9">
        <v>9.9</v>
      </c>
      <c r="F67" s="9">
        <v>10.9</v>
      </c>
    </row>
    <row r="68" spans="1:6" ht="30">
      <c r="A68" s="2" t="s">
        <v>93</v>
      </c>
      <c r="B68" s="9" t="s">
        <v>164</v>
      </c>
      <c r="C68" s="9" t="s">
        <v>164</v>
      </c>
      <c r="D68" s="9" t="s">
        <v>164</v>
      </c>
      <c r="E68" s="9" t="s">
        <v>164</v>
      </c>
      <c r="F68" s="9" t="s">
        <v>164</v>
      </c>
    </row>
    <row r="69" spans="1:6">
      <c r="A69" s="2" t="s">
        <v>94</v>
      </c>
      <c r="B69" s="9" t="s">
        <v>9</v>
      </c>
      <c r="C69" s="9" t="s">
        <v>9</v>
      </c>
      <c r="D69" s="9" t="s">
        <v>9</v>
      </c>
      <c r="E69" s="9" t="s">
        <v>9</v>
      </c>
      <c r="F69" s="9" t="s">
        <v>9</v>
      </c>
    </row>
    <row r="70" spans="1:6">
      <c r="A70" s="2" t="s">
        <v>95</v>
      </c>
      <c r="B70" s="9" t="s">
        <v>9</v>
      </c>
      <c r="C70" s="9" t="s">
        <v>9</v>
      </c>
      <c r="D70" s="9" t="s">
        <v>9</v>
      </c>
      <c r="E70" s="9" t="s">
        <v>9</v>
      </c>
      <c r="F70" s="9" t="s">
        <v>9</v>
      </c>
    </row>
    <row r="71" spans="1:6">
      <c r="A71" s="2" t="s">
        <v>96</v>
      </c>
      <c r="B71" s="9" t="s">
        <v>9</v>
      </c>
      <c r="C71" s="9" t="s">
        <v>9</v>
      </c>
      <c r="D71" s="9" t="s">
        <v>9</v>
      </c>
      <c r="E71" s="9" t="s">
        <v>9</v>
      </c>
      <c r="F71" s="9" t="s">
        <v>9</v>
      </c>
    </row>
    <row r="72" spans="1:6">
      <c r="A72" s="2" t="s">
        <v>97</v>
      </c>
      <c r="B72" s="9" t="s">
        <v>9</v>
      </c>
      <c r="C72" s="9" t="s">
        <v>9</v>
      </c>
      <c r="D72" s="9" t="s">
        <v>9</v>
      </c>
      <c r="E72" s="9" t="s">
        <v>9</v>
      </c>
      <c r="F72" s="9" t="s">
        <v>9</v>
      </c>
    </row>
    <row r="73" spans="1:6" ht="30">
      <c r="A73" s="2" t="s">
        <v>98</v>
      </c>
      <c r="B73" s="9" t="s">
        <v>165</v>
      </c>
      <c r="C73" s="9" t="s">
        <v>165</v>
      </c>
      <c r="D73" s="9" t="s">
        <v>165</v>
      </c>
      <c r="E73" s="9" t="s">
        <v>165</v>
      </c>
      <c r="F73" s="9" t="s">
        <v>165</v>
      </c>
    </row>
    <row r="74" spans="1:6">
      <c r="A74" s="2" t="s">
        <v>99</v>
      </c>
      <c r="B74" s="9" t="s">
        <v>9</v>
      </c>
      <c r="C74" s="9" t="s">
        <v>9</v>
      </c>
      <c r="D74" s="9" t="s">
        <v>9</v>
      </c>
      <c r="E74" s="9" t="s">
        <v>9</v>
      </c>
      <c r="F74" s="9" t="s">
        <v>9</v>
      </c>
    </row>
    <row r="75" spans="1:6">
      <c r="A75" s="2" t="s">
        <v>100</v>
      </c>
      <c r="B75" s="9" t="s">
        <v>9</v>
      </c>
      <c r="C75" s="9" t="s">
        <v>9</v>
      </c>
      <c r="D75" s="9" t="s">
        <v>9</v>
      </c>
      <c r="E75" s="9" t="s">
        <v>9</v>
      </c>
      <c r="F75" s="9" t="s">
        <v>9</v>
      </c>
    </row>
    <row r="76" spans="1:6">
      <c r="A76" s="2" t="s">
        <v>101</v>
      </c>
      <c r="B76" s="9">
        <v>11.5</v>
      </c>
      <c r="C76" s="9">
        <v>16.399999999999999</v>
      </c>
      <c r="D76" s="9">
        <v>19</v>
      </c>
      <c r="E76" s="9">
        <v>22.1</v>
      </c>
      <c r="F76" s="9">
        <v>22.9</v>
      </c>
    </row>
    <row r="77" spans="1:6">
      <c r="A77" s="2" t="s">
        <v>103</v>
      </c>
      <c r="B77" s="9">
        <v>12.5</v>
      </c>
      <c r="C77" s="9">
        <v>9.9</v>
      </c>
      <c r="D77" s="9">
        <v>8.9</v>
      </c>
      <c r="E77" s="9">
        <v>14</v>
      </c>
      <c r="F77" s="9">
        <v>7.9</v>
      </c>
    </row>
    <row r="78" spans="1:6">
      <c r="A78" s="2" t="s">
        <v>104</v>
      </c>
      <c r="B78" s="9">
        <v>20.3</v>
      </c>
      <c r="C78" s="9">
        <v>17.600000000000001</v>
      </c>
      <c r="D78" s="9">
        <v>16.2</v>
      </c>
      <c r="E78" s="9">
        <v>8.1999999999999993</v>
      </c>
      <c r="F78" s="9">
        <v>13.6</v>
      </c>
    </row>
    <row r="79" spans="1:6">
      <c r="A79" s="2" t="s">
        <v>105</v>
      </c>
      <c r="B79" s="9">
        <v>55.8</v>
      </c>
      <c r="C79" s="9">
        <v>56.1</v>
      </c>
      <c r="D79" s="9">
        <v>55.9</v>
      </c>
      <c r="E79" s="9">
        <v>55.7</v>
      </c>
      <c r="F79" s="9">
        <v>55.6</v>
      </c>
    </row>
    <row r="80" spans="1:6" ht="30">
      <c r="A80" s="2" t="s">
        <v>108</v>
      </c>
      <c r="B80" s="9" t="s">
        <v>166</v>
      </c>
      <c r="C80" s="9" t="s">
        <v>166</v>
      </c>
      <c r="D80" s="9" t="s">
        <v>166</v>
      </c>
      <c r="E80" s="9" t="s">
        <v>166</v>
      </c>
      <c r="F80" s="9" t="s">
        <v>166</v>
      </c>
    </row>
    <row r="81" spans="1:6" ht="30">
      <c r="A81" s="2" t="s">
        <v>111</v>
      </c>
      <c r="B81" s="9" t="s">
        <v>167</v>
      </c>
      <c r="C81" s="9" t="s">
        <v>168</v>
      </c>
      <c r="D81" s="9" t="s">
        <v>169</v>
      </c>
      <c r="E81" s="9" t="s">
        <v>170</v>
      </c>
      <c r="F81" s="9" t="s">
        <v>171</v>
      </c>
    </row>
    <row r="82" spans="1:6" ht="30">
      <c r="A82" s="2" t="s">
        <v>116</v>
      </c>
      <c r="B82" s="9" t="s">
        <v>166</v>
      </c>
      <c r="C82" s="9" t="s">
        <v>166</v>
      </c>
      <c r="D82" s="9" t="s">
        <v>166</v>
      </c>
      <c r="E82" s="9" t="s">
        <v>166</v>
      </c>
      <c r="F82" s="9" t="s">
        <v>166</v>
      </c>
    </row>
    <row r="83" spans="1:6">
      <c r="A83" s="2" t="s">
        <v>117</v>
      </c>
      <c r="B83" s="9" t="s">
        <v>9</v>
      </c>
      <c r="C83" s="9" t="s">
        <v>9</v>
      </c>
      <c r="D83" s="9" t="s">
        <v>9</v>
      </c>
      <c r="E83" s="9" t="s">
        <v>9</v>
      </c>
      <c r="F83" s="9" t="s">
        <v>172</v>
      </c>
    </row>
    <row r="84" spans="1:6" ht="30">
      <c r="A84" s="2" t="s">
        <v>118</v>
      </c>
      <c r="B84" s="9" t="s">
        <v>173</v>
      </c>
      <c r="C84" s="9" t="s">
        <v>173</v>
      </c>
      <c r="D84" s="9" t="s">
        <v>173</v>
      </c>
      <c r="E84" s="9" t="s">
        <v>173</v>
      </c>
      <c r="F84" s="9" t="s">
        <v>174</v>
      </c>
    </row>
    <row r="85" spans="1:6">
      <c r="A85" s="2" t="s">
        <v>119</v>
      </c>
      <c r="B85" s="9">
        <v>0.48</v>
      </c>
      <c r="D85" s="9">
        <v>0.52</v>
      </c>
      <c r="F85" s="9">
        <v>0.51</v>
      </c>
    </row>
    <row r="86" spans="1:6" ht="30">
      <c r="A86" s="2" t="s">
        <v>120</v>
      </c>
      <c r="B86" s="9" t="s">
        <v>175</v>
      </c>
      <c r="C86" s="9" t="s">
        <v>175</v>
      </c>
      <c r="D86" s="9" t="s">
        <v>175</v>
      </c>
      <c r="E86" s="9" t="s">
        <v>175</v>
      </c>
      <c r="F86" s="9" t="s">
        <v>175</v>
      </c>
    </row>
    <row r="87" spans="1:6">
      <c r="A87" s="2" t="s">
        <v>121</v>
      </c>
      <c r="B87" s="9">
        <v>6.49</v>
      </c>
      <c r="D87" s="9">
        <v>6.74</v>
      </c>
      <c r="F87" s="9">
        <v>6.76</v>
      </c>
    </row>
    <row r="88" spans="1:6" ht="30">
      <c r="A88" s="2" t="s">
        <v>122</v>
      </c>
      <c r="B88" s="9" t="s">
        <v>175</v>
      </c>
      <c r="C88" s="9" t="s">
        <v>175</v>
      </c>
      <c r="D88" s="9" t="s">
        <v>175</v>
      </c>
      <c r="E88" s="9" t="s">
        <v>175</v>
      </c>
      <c r="F88" s="9" t="s">
        <v>175</v>
      </c>
    </row>
    <row r="89" spans="1:6">
      <c r="A89" s="4" t="s">
        <v>123</v>
      </c>
      <c r="B89" s="9" t="s">
        <v>176</v>
      </c>
      <c r="C89" s="9" t="s">
        <v>177</v>
      </c>
      <c r="D89" s="9" t="s">
        <v>178</v>
      </c>
      <c r="E89" s="9" t="s">
        <v>179</v>
      </c>
      <c r="F89" s="9" t="s">
        <v>180</v>
      </c>
    </row>
    <row r="90" spans="1:6">
      <c r="A90" s="4" t="s">
        <v>125</v>
      </c>
      <c r="B90" s="9" t="s">
        <v>181</v>
      </c>
      <c r="C90" s="9" t="s">
        <v>182</v>
      </c>
      <c r="D90" s="9" t="s">
        <v>183</v>
      </c>
      <c r="E90" s="9" t="s">
        <v>184</v>
      </c>
      <c r="F90" s="9" t="s">
        <v>185</v>
      </c>
    </row>
    <row r="91" spans="1:6">
      <c r="A91" s="4" t="s">
        <v>126</v>
      </c>
      <c r="B91" s="9" t="s">
        <v>186</v>
      </c>
      <c r="C91" s="9" t="s">
        <v>187</v>
      </c>
      <c r="D91" s="9" t="s">
        <v>188</v>
      </c>
      <c r="E91" s="9" t="s">
        <v>189</v>
      </c>
      <c r="F91" s="9" t="s">
        <v>188</v>
      </c>
    </row>
    <row r="92" spans="1:6">
      <c r="A92" s="4" t="s">
        <v>127</v>
      </c>
      <c r="B92" s="9" t="s">
        <v>190</v>
      </c>
      <c r="C92" s="9" t="s">
        <v>191</v>
      </c>
      <c r="D92" s="9" t="s">
        <v>192</v>
      </c>
      <c r="E92" s="9" t="s">
        <v>193</v>
      </c>
      <c r="F92" s="9" t="s">
        <v>194</v>
      </c>
    </row>
    <row r="93" spans="1:6" ht="30">
      <c r="A93" s="4" t="s">
        <v>128</v>
      </c>
      <c r="B93" s="9" t="s">
        <v>195</v>
      </c>
      <c r="C93" s="9" t="s">
        <v>195</v>
      </c>
      <c r="D93" s="9" t="s">
        <v>195</v>
      </c>
      <c r="E93" s="9" t="s">
        <v>195</v>
      </c>
      <c r="F93" s="9" t="s">
        <v>195</v>
      </c>
    </row>
    <row r="94" spans="1:6">
      <c r="A94" s="2" t="s">
        <v>142</v>
      </c>
      <c r="B94" s="9" t="s">
        <v>9</v>
      </c>
      <c r="C94" s="9" t="s">
        <v>9</v>
      </c>
      <c r="D94" s="9" t="s">
        <v>9</v>
      </c>
      <c r="E94" s="9" t="s">
        <v>9</v>
      </c>
      <c r="F94" s="9" t="s">
        <v>9</v>
      </c>
    </row>
    <row r="95" spans="1:6">
      <c r="A95" s="2" t="s">
        <v>143</v>
      </c>
      <c r="B95" s="9" t="s">
        <v>9</v>
      </c>
      <c r="C95" s="9" t="s">
        <v>9</v>
      </c>
      <c r="D95" s="9" t="s">
        <v>9</v>
      </c>
      <c r="E95" s="9" t="s">
        <v>9</v>
      </c>
      <c r="F95" s="9" t="s">
        <v>9</v>
      </c>
    </row>
    <row r="96" spans="1:6">
      <c r="A96" s="2" t="s">
        <v>144</v>
      </c>
      <c r="B96" s="9" t="s">
        <v>9</v>
      </c>
      <c r="C96" s="9" t="s">
        <v>9</v>
      </c>
      <c r="D96" s="9" t="s">
        <v>9</v>
      </c>
      <c r="E96" s="9" t="s">
        <v>9</v>
      </c>
      <c r="F96" s="9"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2973-A6F8-4B46-A3FD-B50668667F80}">
  <dimension ref="A1:F96"/>
  <sheetViews>
    <sheetView topLeftCell="A24" zoomScale="130" zoomScaleNormal="130" workbookViewId="0">
      <pane xSplit="1" topLeftCell="B1" activePane="topRight" state="frozen"/>
      <selection pane="topRight" activeCell="B5" sqref="B5"/>
      <selection activeCell="A72" sqref="A72"/>
    </sheetView>
  </sheetViews>
  <sheetFormatPr defaultRowHeight="15"/>
  <cols>
    <col min="1" max="1" width="40.140625" style="1" customWidth="1"/>
    <col min="2" max="6" width="39" style="9" customWidth="1"/>
    <col min="7" max="16384" width="9.140625" style="9"/>
  </cols>
  <sheetData>
    <row r="1" spans="1:6">
      <c r="A1" s="2" t="s">
        <v>0</v>
      </c>
      <c r="B1" s="9" t="s">
        <v>145</v>
      </c>
      <c r="C1" s="9" t="s">
        <v>146</v>
      </c>
      <c r="D1" s="9" t="s">
        <v>147</v>
      </c>
      <c r="E1" s="9" t="s">
        <v>148</v>
      </c>
      <c r="F1" s="9" t="s">
        <v>149</v>
      </c>
    </row>
    <row r="2" spans="1:6">
      <c r="A2" s="2" t="s">
        <v>5</v>
      </c>
      <c r="B2" s="9" t="s">
        <v>6</v>
      </c>
      <c r="C2" s="9" t="s">
        <v>6</v>
      </c>
      <c r="D2" s="9" t="s">
        <v>6</v>
      </c>
      <c r="E2" s="9" t="s">
        <v>6</v>
      </c>
      <c r="F2" s="9" t="s">
        <v>6</v>
      </c>
    </row>
    <row r="3" spans="1:6">
      <c r="A3" s="2" t="s">
        <v>8</v>
      </c>
      <c r="B3" s="9" t="s">
        <v>9</v>
      </c>
      <c r="C3" s="9" t="s">
        <v>9</v>
      </c>
      <c r="D3" s="9" t="s">
        <v>9</v>
      </c>
      <c r="E3" s="9" t="s">
        <v>9</v>
      </c>
      <c r="F3" s="9" t="s">
        <v>9</v>
      </c>
    </row>
    <row r="4" spans="1:6">
      <c r="A4" s="2" t="s">
        <v>10</v>
      </c>
      <c r="B4" s="9" t="s">
        <v>150</v>
      </c>
      <c r="C4" s="9" t="s">
        <v>150</v>
      </c>
      <c r="D4" s="9" t="s">
        <v>150</v>
      </c>
      <c r="E4" s="9" t="s">
        <v>150</v>
      </c>
      <c r="F4" s="9" t="s">
        <v>150</v>
      </c>
    </row>
    <row r="5" spans="1:6">
      <c r="A5" s="2" t="s">
        <v>11</v>
      </c>
      <c r="B5" s="9" t="s">
        <v>9</v>
      </c>
      <c r="C5" s="9" t="s">
        <v>9</v>
      </c>
      <c r="D5" s="9" t="s">
        <v>9</v>
      </c>
      <c r="E5" s="9" t="s">
        <v>9</v>
      </c>
      <c r="F5" s="9" t="s">
        <v>9</v>
      </c>
    </row>
    <row r="6" spans="1:6">
      <c r="A6" s="2" t="s">
        <v>12</v>
      </c>
      <c r="B6" s="9" t="s">
        <v>9</v>
      </c>
      <c r="C6" s="9" t="s">
        <v>9</v>
      </c>
      <c r="D6" s="9" t="s">
        <v>9</v>
      </c>
      <c r="E6" s="9" t="s">
        <v>9</v>
      </c>
      <c r="F6" s="9" t="s">
        <v>9</v>
      </c>
    </row>
    <row r="7" spans="1:6">
      <c r="A7" s="2" t="s">
        <v>13</v>
      </c>
      <c r="B7" s="9" t="s">
        <v>9</v>
      </c>
      <c r="C7" s="9" t="s">
        <v>9</v>
      </c>
      <c r="D7" s="9" t="s">
        <v>9</v>
      </c>
      <c r="E7" s="9" t="s">
        <v>9</v>
      </c>
      <c r="F7" s="9" t="s">
        <v>9</v>
      </c>
    </row>
    <row r="8" spans="1:6" ht="30">
      <c r="A8" s="2" t="s">
        <v>14</v>
      </c>
      <c r="B8" s="9" t="s">
        <v>151</v>
      </c>
      <c r="C8" s="9" t="s">
        <v>151</v>
      </c>
      <c r="D8" s="9" t="s">
        <v>151</v>
      </c>
      <c r="E8" s="9" t="s">
        <v>151</v>
      </c>
      <c r="F8" s="9" t="s">
        <v>151</v>
      </c>
    </row>
    <row r="9" spans="1:6">
      <c r="A9" s="2" t="s">
        <v>17</v>
      </c>
      <c r="B9" s="9">
        <v>200</v>
      </c>
      <c r="C9" s="9">
        <v>200</v>
      </c>
      <c r="D9" s="9">
        <v>200</v>
      </c>
      <c r="E9" s="9">
        <v>200</v>
      </c>
      <c r="F9" s="9">
        <v>200</v>
      </c>
    </row>
    <row r="10" spans="1:6">
      <c r="A10" s="2" t="s">
        <v>19</v>
      </c>
      <c r="B10" s="9" t="s">
        <v>20</v>
      </c>
      <c r="C10" s="9" t="s">
        <v>20</v>
      </c>
      <c r="D10" s="9" t="s">
        <v>20</v>
      </c>
      <c r="E10" s="9" t="s">
        <v>20</v>
      </c>
      <c r="F10" s="9" t="s">
        <v>20</v>
      </c>
    </row>
    <row r="11" spans="1:6">
      <c r="A11" s="2" t="s">
        <v>21</v>
      </c>
      <c r="B11" s="9" t="s">
        <v>9</v>
      </c>
      <c r="C11" s="9" t="s">
        <v>9</v>
      </c>
      <c r="D11" s="9" t="s">
        <v>9</v>
      </c>
      <c r="E11" s="9" t="s">
        <v>9</v>
      </c>
      <c r="F11" s="9" t="s">
        <v>9</v>
      </c>
    </row>
    <row r="12" spans="1:6">
      <c r="A12" s="2" t="s">
        <v>22</v>
      </c>
      <c r="B12" s="9" t="s">
        <v>9</v>
      </c>
      <c r="C12" s="9" t="s">
        <v>9</v>
      </c>
      <c r="D12" s="9" t="s">
        <v>9</v>
      </c>
      <c r="E12" s="9" t="s">
        <v>9</v>
      </c>
      <c r="F12" s="9" t="s">
        <v>9</v>
      </c>
    </row>
    <row r="13" spans="1:6">
      <c r="A13" s="2" t="s">
        <v>23</v>
      </c>
      <c r="B13" s="9" t="s">
        <v>9</v>
      </c>
      <c r="C13" s="9" t="s">
        <v>9</v>
      </c>
      <c r="D13" s="9" t="s">
        <v>9</v>
      </c>
      <c r="E13" s="9" t="s">
        <v>9</v>
      </c>
      <c r="F13" s="9" t="s">
        <v>9</v>
      </c>
    </row>
    <row r="14" spans="1:6">
      <c r="A14" s="2" t="s">
        <v>24</v>
      </c>
      <c r="B14" s="9" t="s">
        <v>9</v>
      </c>
      <c r="C14" s="9" t="s">
        <v>9</v>
      </c>
      <c r="D14" s="9" t="s">
        <v>9</v>
      </c>
      <c r="E14" s="9" t="s">
        <v>9</v>
      </c>
      <c r="F14" s="9" t="s">
        <v>9</v>
      </c>
    </row>
    <row r="15" spans="1:6">
      <c r="A15" s="2" t="s">
        <v>25</v>
      </c>
      <c r="B15" s="9" t="b">
        <v>1</v>
      </c>
      <c r="C15" s="9" t="b">
        <v>1</v>
      </c>
      <c r="D15" s="9" t="b">
        <v>1</v>
      </c>
      <c r="E15" s="9" t="b">
        <v>1</v>
      </c>
      <c r="F15" s="9" t="b">
        <v>1</v>
      </c>
    </row>
    <row r="16" spans="1:6">
      <c r="A16" s="2" t="s">
        <v>27</v>
      </c>
      <c r="B16" s="9" t="s">
        <v>9</v>
      </c>
      <c r="C16" s="9" t="s">
        <v>9</v>
      </c>
      <c r="D16" s="9" t="s">
        <v>9</v>
      </c>
      <c r="E16" s="9" t="s">
        <v>9</v>
      </c>
      <c r="F16" s="9" t="s">
        <v>9</v>
      </c>
    </row>
    <row r="17" spans="1:6">
      <c r="A17" s="2" t="s">
        <v>28</v>
      </c>
      <c r="B17" s="9">
        <v>20</v>
      </c>
      <c r="C17" s="9">
        <v>20</v>
      </c>
      <c r="D17" s="9">
        <v>20</v>
      </c>
      <c r="E17" s="9">
        <v>20</v>
      </c>
      <c r="F17" s="9">
        <v>20</v>
      </c>
    </row>
    <row r="18" spans="1:6">
      <c r="A18" s="2" t="s">
        <v>30</v>
      </c>
      <c r="B18" s="9" t="s">
        <v>31</v>
      </c>
      <c r="C18" s="9" t="s">
        <v>31</v>
      </c>
      <c r="D18" s="9" t="s">
        <v>31</v>
      </c>
      <c r="E18" s="9" t="s">
        <v>31</v>
      </c>
      <c r="F18" s="9" t="s">
        <v>31</v>
      </c>
    </row>
    <row r="19" spans="1:6" ht="30">
      <c r="A19" s="2" t="s">
        <v>32</v>
      </c>
      <c r="B19" s="10">
        <f>B20</f>
        <v>3.278688524590164</v>
      </c>
      <c r="C19" s="10">
        <f>C20</f>
        <v>2.3529411764705883</v>
      </c>
      <c r="D19" s="10">
        <f>D20</f>
        <v>1.9607843137254903</v>
      </c>
      <c r="E19" s="10">
        <f>E20</f>
        <v>1.4492753623188406</v>
      </c>
      <c r="F19" s="10">
        <f>F20</f>
        <v>1.1560693641618496</v>
      </c>
    </row>
    <row r="20" spans="1:6">
      <c r="A20" s="2" t="s">
        <v>33</v>
      </c>
      <c r="B20" s="10">
        <f>B17/B21</f>
        <v>3.278688524590164</v>
      </c>
      <c r="C20" s="10">
        <f>C17/C21</f>
        <v>2.3529411764705883</v>
      </c>
      <c r="D20" s="10">
        <f>D17/D21</f>
        <v>1.9607843137254903</v>
      </c>
      <c r="E20" s="10">
        <f>E17/E21</f>
        <v>1.4492753623188406</v>
      </c>
      <c r="F20" s="10">
        <f>F17/F21</f>
        <v>1.1560693641618496</v>
      </c>
    </row>
    <row r="21" spans="1:6">
      <c r="A21" s="2" t="s">
        <v>34</v>
      </c>
      <c r="B21" s="9">
        <v>6.1</v>
      </c>
      <c r="C21" s="9">
        <v>8.5</v>
      </c>
      <c r="D21" s="9">
        <v>10.199999999999999</v>
      </c>
      <c r="E21" s="9">
        <v>13.8</v>
      </c>
      <c r="F21" s="9">
        <v>17.3</v>
      </c>
    </row>
    <row r="22" spans="1:6" ht="30">
      <c r="A22" s="2" t="s">
        <v>35</v>
      </c>
      <c r="B22" s="9" t="s">
        <v>152</v>
      </c>
      <c r="C22" s="9" t="s">
        <v>152</v>
      </c>
      <c r="D22" s="9" t="s">
        <v>152</v>
      </c>
      <c r="E22" s="9" t="s">
        <v>152</v>
      </c>
      <c r="F22" s="9" t="s">
        <v>152</v>
      </c>
    </row>
    <row r="23" spans="1:6">
      <c r="A23" s="2" t="s">
        <v>39</v>
      </c>
      <c r="B23" s="9" t="s">
        <v>41</v>
      </c>
      <c r="C23" s="9" t="s">
        <v>41</v>
      </c>
      <c r="D23" s="9" t="s">
        <v>41</v>
      </c>
      <c r="E23" s="9" t="s">
        <v>41</v>
      </c>
      <c r="F23" s="9" t="s">
        <v>41</v>
      </c>
    </row>
    <row r="24" spans="1:6" ht="30">
      <c r="A24" s="2" t="s">
        <v>42</v>
      </c>
      <c r="B24" s="9" t="s">
        <v>153</v>
      </c>
      <c r="C24" s="9" t="s">
        <v>153</v>
      </c>
      <c r="D24" s="9" t="s">
        <v>153</v>
      </c>
      <c r="E24" s="9" t="s">
        <v>153</v>
      </c>
      <c r="F24" s="9" t="s">
        <v>153</v>
      </c>
    </row>
    <row r="25" spans="1:6" ht="30">
      <c r="A25" s="2" t="s">
        <v>44</v>
      </c>
      <c r="B25" s="9" t="s">
        <v>154</v>
      </c>
      <c r="C25" s="9" t="s">
        <v>154</v>
      </c>
      <c r="D25" s="9" t="s">
        <v>154</v>
      </c>
      <c r="E25" s="9" t="s">
        <v>154</v>
      </c>
      <c r="F25" s="9" t="s">
        <v>154</v>
      </c>
    </row>
    <row r="26" spans="1:6">
      <c r="A26" s="2" t="s">
        <v>48</v>
      </c>
      <c r="B26" s="9" t="s">
        <v>9</v>
      </c>
      <c r="C26" s="9" t="s">
        <v>9</v>
      </c>
      <c r="D26" s="9" t="s">
        <v>9</v>
      </c>
      <c r="E26" s="9" t="s">
        <v>9</v>
      </c>
      <c r="F26" s="9" t="s">
        <v>9</v>
      </c>
    </row>
    <row r="27" spans="1:6">
      <c r="A27" s="2" t="s">
        <v>50</v>
      </c>
      <c r="B27" s="9" t="s">
        <v>9</v>
      </c>
      <c r="C27" s="9" t="s">
        <v>9</v>
      </c>
      <c r="D27" s="9" t="s">
        <v>9</v>
      </c>
      <c r="E27" s="9" t="s">
        <v>9</v>
      </c>
      <c r="F27" s="9" t="s">
        <v>9</v>
      </c>
    </row>
    <row r="28" spans="1:6">
      <c r="A28" s="2" t="s">
        <v>51</v>
      </c>
      <c r="B28" s="9" t="s">
        <v>9</v>
      </c>
      <c r="C28" s="9" t="s">
        <v>9</v>
      </c>
      <c r="D28" s="9" t="s">
        <v>9</v>
      </c>
      <c r="E28" s="9" t="s">
        <v>9</v>
      </c>
      <c r="F28" s="9" t="s">
        <v>9</v>
      </c>
    </row>
    <row r="29" spans="1:6">
      <c r="A29" s="2" t="s">
        <v>52</v>
      </c>
      <c r="B29" s="9" t="s">
        <v>9</v>
      </c>
      <c r="C29" s="9" t="s">
        <v>9</v>
      </c>
      <c r="D29" s="9" t="s">
        <v>9</v>
      </c>
      <c r="E29" s="9" t="s">
        <v>9</v>
      </c>
      <c r="F29" s="9" t="s">
        <v>9</v>
      </c>
    </row>
    <row r="30" spans="1:6">
      <c r="A30" s="2" t="s">
        <v>53</v>
      </c>
      <c r="B30" s="9" t="s">
        <v>9</v>
      </c>
      <c r="C30" s="9" t="s">
        <v>9</v>
      </c>
      <c r="D30" s="9" t="s">
        <v>9</v>
      </c>
      <c r="E30" s="9" t="s">
        <v>9</v>
      </c>
      <c r="F30" s="9" t="s">
        <v>9</v>
      </c>
    </row>
    <row r="31" spans="1:6">
      <c r="A31" s="2" t="s">
        <v>54</v>
      </c>
      <c r="B31" s="9" t="s">
        <v>9</v>
      </c>
      <c r="C31" s="9" t="s">
        <v>9</v>
      </c>
      <c r="D31" s="9" t="s">
        <v>9</v>
      </c>
      <c r="E31" s="9" t="s">
        <v>9</v>
      </c>
      <c r="F31" s="9" t="s">
        <v>9</v>
      </c>
    </row>
    <row r="32" spans="1:6">
      <c r="A32" s="2" t="s">
        <v>55</v>
      </c>
      <c r="B32" s="9" t="s">
        <v>9</v>
      </c>
      <c r="C32" s="9" t="s">
        <v>9</v>
      </c>
      <c r="D32" s="9" t="s">
        <v>9</v>
      </c>
      <c r="E32" s="9" t="s">
        <v>9</v>
      </c>
      <c r="F32" s="9" t="s">
        <v>9</v>
      </c>
    </row>
    <row r="33" spans="1:6">
      <c r="A33" s="2" t="s">
        <v>56</v>
      </c>
      <c r="B33" s="9" t="s">
        <v>9</v>
      </c>
      <c r="C33" s="9" t="s">
        <v>9</v>
      </c>
      <c r="D33" s="9" t="s">
        <v>9</v>
      </c>
      <c r="E33" s="9" t="s">
        <v>9</v>
      </c>
      <c r="F33" s="9" t="s">
        <v>9</v>
      </c>
    </row>
    <row r="34" spans="1:6">
      <c r="A34" s="2" t="s">
        <v>57</v>
      </c>
      <c r="B34" s="9">
        <v>0.8</v>
      </c>
      <c r="C34" s="9">
        <v>0.8</v>
      </c>
      <c r="D34" s="9">
        <v>0.8</v>
      </c>
      <c r="E34" s="9">
        <v>0.8</v>
      </c>
      <c r="F34" s="9">
        <v>0.8</v>
      </c>
    </row>
    <row r="35" spans="1:6">
      <c r="A35" s="2" t="s">
        <v>58</v>
      </c>
      <c r="B35" s="9">
        <v>4</v>
      </c>
      <c r="C35" s="9">
        <v>8</v>
      </c>
      <c r="D35" s="9">
        <v>12</v>
      </c>
      <c r="E35" s="9">
        <v>16</v>
      </c>
      <c r="F35" s="9">
        <v>20</v>
      </c>
    </row>
    <row r="36" spans="1:6">
      <c r="A36" s="4" t="s">
        <v>59</v>
      </c>
      <c r="B36" s="9">
        <v>1</v>
      </c>
      <c r="C36" s="9">
        <v>1</v>
      </c>
      <c r="D36" s="9">
        <v>1</v>
      </c>
      <c r="E36" s="9">
        <v>1</v>
      </c>
      <c r="F36" s="9">
        <v>1</v>
      </c>
    </row>
    <row r="37" spans="1:6">
      <c r="A37" s="2" t="s">
        <v>60</v>
      </c>
      <c r="B37" s="9" t="s">
        <v>61</v>
      </c>
      <c r="C37" s="9" t="s">
        <v>61</v>
      </c>
      <c r="D37" s="9" t="s">
        <v>61</v>
      </c>
      <c r="E37" s="9" t="s">
        <v>61</v>
      </c>
      <c r="F37" s="9" t="s">
        <v>61</v>
      </c>
    </row>
    <row r="38" spans="1:6" ht="30">
      <c r="A38" s="2" t="s">
        <v>62</v>
      </c>
      <c r="B38" s="9" t="s">
        <v>153</v>
      </c>
      <c r="C38" s="9" t="s">
        <v>153</v>
      </c>
      <c r="D38" s="9" t="s">
        <v>153</v>
      </c>
      <c r="E38" s="9" t="s">
        <v>153</v>
      </c>
      <c r="F38" s="9" t="s">
        <v>153</v>
      </c>
    </row>
    <row r="39" spans="1:6">
      <c r="A39" s="2" t="s">
        <v>63</v>
      </c>
      <c r="B39" s="9" t="s">
        <v>155</v>
      </c>
      <c r="C39" s="9" t="s">
        <v>155</v>
      </c>
      <c r="D39" s="9" t="s">
        <v>155</v>
      </c>
      <c r="E39" s="9" t="s">
        <v>155</v>
      </c>
      <c r="F39" s="9" t="s">
        <v>155</v>
      </c>
    </row>
    <row r="40" spans="1:6">
      <c r="A40" s="2" t="s">
        <v>65</v>
      </c>
      <c r="B40" s="9" t="s">
        <v>156</v>
      </c>
      <c r="C40" s="9" t="s">
        <v>156</v>
      </c>
      <c r="D40" s="9" t="s">
        <v>156</v>
      </c>
      <c r="E40" s="9" t="s">
        <v>156</v>
      </c>
      <c r="F40" s="9" t="s">
        <v>156</v>
      </c>
    </row>
    <row r="41" spans="1:6">
      <c r="A41" s="2" t="s">
        <v>66</v>
      </c>
      <c r="B41" s="9" t="s">
        <v>9</v>
      </c>
      <c r="C41" s="9" t="s">
        <v>9</v>
      </c>
      <c r="D41" s="9" t="s">
        <v>9</v>
      </c>
      <c r="E41" s="9" t="s">
        <v>9</v>
      </c>
      <c r="F41" s="9" t="s">
        <v>9</v>
      </c>
    </row>
    <row r="42" spans="1:6">
      <c r="A42" s="2" t="s">
        <v>67</v>
      </c>
      <c r="B42" s="9" t="s">
        <v>9</v>
      </c>
      <c r="C42" s="9" t="s">
        <v>9</v>
      </c>
      <c r="D42" s="9" t="s">
        <v>9</v>
      </c>
      <c r="E42" s="9" t="s">
        <v>9</v>
      </c>
      <c r="F42" s="9" t="s">
        <v>9</v>
      </c>
    </row>
    <row r="43" spans="1:6">
      <c r="A43" s="2" t="s">
        <v>68</v>
      </c>
      <c r="B43" s="9" t="s">
        <v>9</v>
      </c>
      <c r="C43" s="9" t="s">
        <v>9</v>
      </c>
      <c r="D43" s="9" t="s">
        <v>9</v>
      </c>
      <c r="E43" s="9" t="s">
        <v>9</v>
      </c>
      <c r="F43" s="9" t="s">
        <v>9</v>
      </c>
    </row>
    <row r="44" spans="1:6">
      <c r="A44" s="2" t="s">
        <v>69</v>
      </c>
      <c r="B44" s="9" t="s">
        <v>9</v>
      </c>
      <c r="C44" s="9" t="s">
        <v>9</v>
      </c>
      <c r="D44" s="9" t="s">
        <v>9</v>
      </c>
      <c r="E44" s="9" t="s">
        <v>9</v>
      </c>
      <c r="F44" s="9" t="s">
        <v>9</v>
      </c>
    </row>
    <row r="45" spans="1:6">
      <c r="A45" s="2" t="s">
        <v>70</v>
      </c>
      <c r="B45" s="9" t="s">
        <v>9</v>
      </c>
      <c r="C45" s="9" t="s">
        <v>9</v>
      </c>
      <c r="D45" s="9" t="s">
        <v>9</v>
      </c>
      <c r="E45" s="9" t="s">
        <v>9</v>
      </c>
      <c r="F45" s="9" t="s">
        <v>9</v>
      </c>
    </row>
    <row r="46" spans="1:6">
      <c r="A46" s="2" t="s">
        <v>71</v>
      </c>
      <c r="B46" s="9" t="s">
        <v>9</v>
      </c>
      <c r="C46" s="9" t="s">
        <v>9</v>
      </c>
      <c r="D46" s="9" t="s">
        <v>9</v>
      </c>
      <c r="E46" s="9" t="s">
        <v>9</v>
      </c>
      <c r="F46" s="9" t="s">
        <v>9</v>
      </c>
    </row>
    <row r="47" spans="1:6">
      <c r="A47" s="2" t="s">
        <v>72</v>
      </c>
      <c r="B47" s="9" t="s">
        <v>9</v>
      </c>
      <c r="C47" s="9" t="s">
        <v>9</v>
      </c>
      <c r="D47" s="9" t="s">
        <v>9</v>
      </c>
      <c r="E47" s="9" t="s">
        <v>9</v>
      </c>
      <c r="F47" s="9" t="s">
        <v>9</v>
      </c>
    </row>
    <row r="48" spans="1:6">
      <c r="A48" s="2" t="s">
        <v>73</v>
      </c>
      <c r="B48" s="9">
        <v>2.2000000000000002</v>
      </c>
      <c r="C48" s="9">
        <v>2.2000000000000002</v>
      </c>
      <c r="D48" s="9">
        <v>2.2000000000000002</v>
      </c>
      <c r="E48" s="9">
        <v>2.2000000000000002</v>
      </c>
      <c r="F48" s="9">
        <v>2.2000000000000002</v>
      </c>
    </row>
    <row r="49" spans="1:6">
      <c r="A49" s="2" t="s">
        <v>74</v>
      </c>
      <c r="B49" s="9">
        <v>1</v>
      </c>
      <c r="C49" s="9">
        <v>1</v>
      </c>
      <c r="D49" s="9">
        <v>1</v>
      </c>
      <c r="E49" s="9">
        <v>1</v>
      </c>
      <c r="F49" s="9">
        <v>1</v>
      </c>
    </row>
    <row r="50" spans="1:6">
      <c r="A50" s="2" t="s">
        <v>75</v>
      </c>
      <c r="B50" s="9">
        <v>2</v>
      </c>
      <c r="C50" s="9">
        <v>2</v>
      </c>
      <c r="D50" s="9">
        <v>2</v>
      </c>
      <c r="E50" s="9">
        <v>2</v>
      </c>
      <c r="F50" s="9">
        <v>2</v>
      </c>
    </row>
    <row r="51" spans="1:6">
      <c r="A51" s="2" t="s">
        <v>76</v>
      </c>
      <c r="B51" s="9" t="s">
        <v>157</v>
      </c>
      <c r="C51" s="9" t="s">
        <v>157</v>
      </c>
      <c r="D51" s="9" t="s">
        <v>157</v>
      </c>
      <c r="E51" s="9" t="s">
        <v>157</v>
      </c>
      <c r="F51" s="9" t="s">
        <v>157</v>
      </c>
    </row>
    <row r="52" spans="1:6" ht="30">
      <c r="A52" s="2" t="s">
        <v>77</v>
      </c>
      <c r="B52" s="9" t="s">
        <v>153</v>
      </c>
      <c r="C52" s="9" t="s">
        <v>153</v>
      </c>
      <c r="D52" s="9" t="s">
        <v>153</v>
      </c>
      <c r="E52" s="9" t="s">
        <v>153</v>
      </c>
      <c r="F52" s="9" t="s">
        <v>153</v>
      </c>
    </row>
    <row r="53" spans="1:6">
      <c r="A53" s="2" t="s">
        <v>78</v>
      </c>
      <c r="B53" s="9" t="s">
        <v>158</v>
      </c>
      <c r="C53" s="9" t="s">
        <v>158</v>
      </c>
      <c r="D53" s="9" t="s">
        <v>158</v>
      </c>
      <c r="E53" s="9" t="s">
        <v>158</v>
      </c>
      <c r="F53" s="9" t="s">
        <v>158</v>
      </c>
    </row>
    <row r="54" spans="1:6">
      <c r="A54" s="2" t="s">
        <v>79</v>
      </c>
      <c r="B54" s="9" t="s">
        <v>156</v>
      </c>
      <c r="C54" s="9" t="s">
        <v>156</v>
      </c>
      <c r="D54" s="9" t="s">
        <v>156</v>
      </c>
      <c r="E54" s="9" t="s">
        <v>156</v>
      </c>
      <c r="F54" s="9" t="s">
        <v>156</v>
      </c>
    </row>
    <row r="55" spans="1:6">
      <c r="A55" s="2" t="s">
        <v>80</v>
      </c>
      <c r="B55" s="9" t="s">
        <v>9</v>
      </c>
      <c r="C55" s="9" t="s">
        <v>9</v>
      </c>
      <c r="D55" s="9" t="s">
        <v>9</v>
      </c>
      <c r="E55" s="9" t="s">
        <v>9</v>
      </c>
      <c r="F55" s="9" t="s">
        <v>9</v>
      </c>
    </row>
    <row r="56" spans="1:6">
      <c r="A56" s="2" t="s">
        <v>81</v>
      </c>
      <c r="B56" s="9" t="s">
        <v>9</v>
      </c>
      <c r="C56" s="9" t="s">
        <v>9</v>
      </c>
      <c r="D56" s="9" t="s">
        <v>9</v>
      </c>
      <c r="E56" s="9" t="s">
        <v>9</v>
      </c>
      <c r="F56" s="9" t="s">
        <v>9</v>
      </c>
    </row>
    <row r="57" spans="1:6">
      <c r="A57" s="2" t="s">
        <v>82</v>
      </c>
      <c r="B57" s="9" t="s">
        <v>9</v>
      </c>
      <c r="C57" s="9" t="s">
        <v>9</v>
      </c>
      <c r="D57" s="9" t="s">
        <v>9</v>
      </c>
      <c r="E57" s="9" t="s">
        <v>9</v>
      </c>
      <c r="F57" s="9" t="s">
        <v>9</v>
      </c>
    </row>
    <row r="58" spans="1:6">
      <c r="A58" s="2" t="s">
        <v>83</v>
      </c>
      <c r="B58" s="9" t="s">
        <v>9</v>
      </c>
      <c r="C58" s="9" t="s">
        <v>9</v>
      </c>
      <c r="D58" s="9" t="s">
        <v>9</v>
      </c>
      <c r="E58" s="9" t="s">
        <v>9</v>
      </c>
      <c r="F58" s="9" t="s">
        <v>9</v>
      </c>
    </row>
    <row r="59" spans="1:6">
      <c r="A59" s="2" t="s">
        <v>84</v>
      </c>
      <c r="B59" s="9" t="s">
        <v>9</v>
      </c>
      <c r="C59" s="9" t="s">
        <v>9</v>
      </c>
      <c r="D59" s="9" t="s">
        <v>9</v>
      </c>
      <c r="E59" s="9" t="s">
        <v>9</v>
      </c>
      <c r="F59" s="9" t="s">
        <v>9</v>
      </c>
    </row>
    <row r="60" spans="1:6">
      <c r="A60" s="2" t="s">
        <v>85</v>
      </c>
      <c r="B60" s="9" t="s">
        <v>9</v>
      </c>
      <c r="C60" s="9" t="s">
        <v>9</v>
      </c>
      <c r="D60" s="9" t="s">
        <v>9</v>
      </c>
      <c r="E60" s="9" t="s">
        <v>9</v>
      </c>
      <c r="F60" s="9" t="s">
        <v>9</v>
      </c>
    </row>
    <row r="61" spans="1:6">
      <c r="A61" s="2" t="s">
        <v>86</v>
      </c>
      <c r="B61" s="9" t="s">
        <v>9</v>
      </c>
      <c r="C61" s="9" t="s">
        <v>9</v>
      </c>
      <c r="D61" s="9" t="s">
        <v>9</v>
      </c>
      <c r="E61" s="9" t="s">
        <v>9</v>
      </c>
      <c r="F61" s="9" t="s">
        <v>9</v>
      </c>
    </row>
    <row r="62" spans="1:6">
      <c r="A62" s="2" t="s">
        <v>87</v>
      </c>
      <c r="B62" s="9">
        <v>1.2</v>
      </c>
      <c r="C62" s="9">
        <v>1.2</v>
      </c>
      <c r="D62" s="9">
        <v>1.2</v>
      </c>
      <c r="E62" s="9">
        <v>1.2</v>
      </c>
      <c r="F62" s="9">
        <v>1.2</v>
      </c>
    </row>
    <row r="63" spans="1:6">
      <c r="A63" s="2" t="s">
        <v>88</v>
      </c>
      <c r="B63" s="9">
        <v>1</v>
      </c>
      <c r="C63" s="9">
        <v>1</v>
      </c>
      <c r="D63" s="9">
        <v>1</v>
      </c>
      <c r="E63" s="9">
        <v>1</v>
      </c>
      <c r="F63" s="9">
        <v>1</v>
      </c>
    </row>
    <row r="64" spans="1:6">
      <c r="A64" s="2" t="s">
        <v>89</v>
      </c>
      <c r="B64" s="9">
        <v>3</v>
      </c>
      <c r="C64" s="9">
        <v>3</v>
      </c>
      <c r="D64" s="9">
        <v>3</v>
      </c>
      <c r="E64" s="9">
        <v>3</v>
      </c>
      <c r="F64" s="9">
        <v>3</v>
      </c>
    </row>
    <row r="65" spans="1:6">
      <c r="A65" s="2" t="s">
        <v>90</v>
      </c>
      <c r="B65" s="9" t="s">
        <v>9</v>
      </c>
      <c r="C65" s="9" t="s">
        <v>9</v>
      </c>
      <c r="D65" s="9" t="s">
        <v>9</v>
      </c>
      <c r="E65" s="9" t="s">
        <v>9</v>
      </c>
      <c r="F65" s="9" t="s">
        <v>9</v>
      </c>
    </row>
    <row r="66" spans="1:6">
      <c r="A66" s="2" t="s">
        <v>91</v>
      </c>
      <c r="B66" s="9" t="s">
        <v>159</v>
      </c>
      <c r="C66" s="9" t="s">
        <v>160</v>
      </c>
      <c r="D66" s="9" t="s">
        <v>161</v>
      </c>
      <c r="E66" s="9" t="s">
        <v>162</v>
      </c>
      <c r="F66" s="9" t="s">
        <v>163</v>
      </c>
    </row>
    <row r="67" spans="1:6">
      <c r="A67" s="2" t="s">
        <v>92</v>
      </c>
      <c r="B67" s="9">
        <v>3.6</v>
      </c>
      <c r="C67" s="9">
        <v>8.5</v>
      </c>
      <c r="D67" s="9">
        <v>9.6</v>
      </c>
      <c r="E67" s="9">
        <v>9.9</v>
      </c>
      <c r="F67" s="9">
        <v>10.9</v>
      </c>
    </row>
    <row r="68" spans="1:6" ht="30">
      <c r="A68" s="2" t="s">
        <v>93</v>
      </c>
      <c r="B68" s="9" t="s">
        <v>164</v>
      </c>
      <c r="C68" s="9" t="s">
        <v>164</v>
      </c>
      <c r="D68" s="9" t="s">
        <v>164</v>
      </c>
      <c r="E68" s="9" t="s">
        <v>164</v>
      </c>
      <c r="F68" s="9" t="s">
        <v>164</v>
      </c>
    </row>
    <row r="69" spans="1:6">
      <c r="A69" s="2" t="s">
        <v>94</v>
      </c>
      <c r="B69" s="9">
        <v>2</v>
      </c>
      <c r="C69" s="9">
        <v>2.1</v>
      </c>
      <c r="D69" s="9">
        <v>2.13</v>
      </c>
      <c r="E69" s="9">
        <v>2.1</v>
      </c>
      <c r="F69" s="9">
        <v>2.1</v>
      </c>
    </row>
    <row r="70" spans="1:6">
      <c r="A70" s="2" t="s">
        <v>95</v>
      </c>
      <c r="B70" s="9" t="s">
        <v>9</v>
      </c>
      <c r="C70" s="9" t="s">
        <v>9</v>
      </c>
      <c r="D70" s="9" t="s">
        <v>9</v>
      </c>
      <c r="E70" s="9" t="s">
        <v>9</v>
      </c>
      <c r="F70" s="9" t="s">
        <v>9</v>
      </c>
    </row>
    <row r="71" spans="1:6">
      <c r="A71" s="2" t="s">
        <v>96</v>
      </c>
      <c r="B71" s="9" t="s">
        <v>9</v>
      </c>
      <c r="C71" s="9" t="s">
        <v>9</v>
      </c>
      <c r="D71" s="9" t="s">
        <v>9</v>
      </c>
      <c r="E71" s="9" t="s">
        <v>9</v>
      </c>
      <c r="F71" s="9" t="s">
        <v>9</v>
      </c>
    </row>
    <row r="72" spans="1:6">
      <c r="A72" s="2" t="s">
        <v>97</v>
      </c>
      <c r="B72" s="9">
        <v>2.98</v>
      </c>
      <c r="C72" s="9">
        <v>2.78</v>
      </c>
      <c r="D72" s="9">
        <v>2.71</v>
      </c>
      <c r="E72" s="9">
        <v>2.67</v>
      </c>
      <c r="F72" s="9">
        <v>2.67</v>
      </c>
    </row>
    <row r="73" spans="1:6" ht="30">
      <c r="A73" s="2" t="s">
        <v>98</v>
      </c>
      <c r="B73" s="9" t="s">
        <v>165</v>
      </c>
      <c r="C73" s="9" t="s">
        <v>165</v>
      </c>
      <c r="D73" s="9" t="s">
        <v>165</v>
      </c>
      <c r="E73" s="9" t="s">
        <v>165</v>
      </c>
      <c r="F73" s="9" t="s">
        <v>165</v>
      </c>
    </row>
    <row r="74" spans="1:6">
      <c r="A74" s="2" t="s">
        <v>99</v>
      </c>
      <c r="B74" s="9" t="s">
        <v>9</v>
      </c>
      <c r="C74" s="9" t="s">
        <v>9</v>
      </c>
      <c r="D74" s="9" t="s">
        <v>9</v>
      </c>
      <c r="E74" s="9" t="s">
        <v>9</v>
      </c>
      <c r="F74" s="9" t="s">
        <v>9</v>
      </c>
    </row>
    <row r="75" spans="1:6">
      <c r="A75" s="2" t="s">
        <v>100</v>
      </c>
      <c r="B75" s="9" t="s">
        <v>9</v>
      </c>
      <c r="C75" s="9" t="s">
        <v>9</v>
      </c>
      <c r="D75" s="9" t="s">
        <v>9</v>
      </c>
      <c r="E75" s="9" t="s">
        <v>9</v>
      </c>
      <c r="F75" s="9" t="s">
        <v>9</v>
      </c>
    </row>
    <row r="76" spans="1:6">
      <c r="A76" s="2" t="s">
        <v>101</v>
      </c>
      <c r="B76" s="9">
        <v>11.5</v>
      </c>
      <c r="C76" s="9">
        <v>16.399999999999999</v>
      </c>
      <c r="D76" s="9">
        <v>19</v>
      </c>
      <c r="E76" s="9">
        <v>22.1</v>
      </c>
      <c r="F76" s="9">
        <v>22.9</v>
      </c>
    </row>
    <row r="77" spans="1:6">
      <c r="A77" s="2" t="s">
        <v>103</v>
      </c>
      <c r="B77" s="9">
        <v>12.5</v>
      </c>
      <c r="C77" s="9">
        <v>9.9</v>
      </c>
      <c r="D77" s="9">
        <v>8.9</v>
      </c>
      <c r="E77" s="9">
        <v>14</v>
      </c>
      <c r="F77" s="9">
        <v>7.9</v>
      </c>
    </row>
    <row r="78" spans="1:6">
      <c r="A78" s="2" t="s">
        <v>104</v>
      </c>
      <c r="B78" s="9">
        <v>20.3</v>
      </c>
      <c r="C78" s="9">
        <v>17.600000000000001</v>
      </c>
      <c r="D78" s="9">
        <v>16.2</v>
      </c>
      <c r="E78" s="9">
        <v>8.1999999999999993</v>
      </c>
      <c r="F78" s="9">
        <v>13.6</v>
      </c>
    </row>
    <row r="79" spans="1:6">
      <c r="A79" s="2" t="s">
        <v>105</v>
      </c>
      <c r="B79" s="9">
        <v>55.8</v>
      </c>
      <c r="C79" s="9">
        <v>56.1</v>
      </c>
      <c r="D79" s="9">
        <v>55.9</v>
      </c>
      <c r="E79" s="9">
        <v>55.7</v>
      </c>
      <c r="F79" s="9">
        <v>55.6</v>
      </c>
    </row>
    <row r="80" spans="1:6" ht="30">
      <c r="A80" s="2" t="s">
        <v>108</v>
      </c>
      <c r="B80" s="9" t="s">
        <v>166</v>
      </c>
      <c r="C80" s="9" t="s">
        <v>166</v>
      </c>
      <c r="D80" s="9" t="s">
        <v>166</v>
      </c>
      <c r="E80" s="9" t="s">
        <v>166</v>
      </c>
      <c r="F80" s="9" t="s">
        <v>166</v>
      </c>
    </row>
    <row r="81" spans="1:6" ht="30">
      <c r="A81" s="2" t="s">
        <v>111</v>
      </c>
      <c r="B81" s="9" t="s">
        <v>167</v>
      </c>
      <c r="C81" s="9" t="s">
        <v>168</v>
      </c>
      <c r="D81" s="9" t="s">
        <v>169</v>
      </c>
      <c r="E81" s="9" t="s">
        <v>170</v>
      </c>
      <c r="F81" s="9" t="s">
        <v>171</v>
      </c>
    </row>
    <row r="82" spans="1:6" ht="30">
      <c r="A82" s="2" t="s">
        <v>116</v>
      </c>
      <c r="B82" s="9" t="s">
        <v>166</v>
      </c>
      <c r="C82" s="9" t="s">
        <v>166</v>
      </c>
      <c r="D82" s="9" t="s">
        <v>166</v>
      </c>
      <c r="E82" s="9" t="s">
        <v>166</v>
      </c>
      <c r="F82" s="9" t="s">
        <v>166</v>
      </c>
    </row>
    <row r="83" spans="1:6">
      <c r="A83" s="2" t="s">
        <v>117</v>
      </c>
      <c r="B83" s="9" t="s">
        <v>172</v>
      </c>
      <c r="C83" s="9" t="s">
        <v>172</v>
      </c>
      <c r="D83" s="9" t="s">
        <v>172</v>
      </c>
      <c r="E83" s="9" t="s">
        <v>172</v>
      </c>
      <c r="F83" s="9" t="s">
        <v>172</v>
      </c>
    </row>
    <row r="84" spans="1:6" ht="30">
      <c r="A84" s="2" t="s">
        <v>118</v>
      </c>
      <c r="B84" s="9" t="s">
        <v>173</v>
      </c>
      <c r="C84" s="9" t="s">
        <v>173</v>
      </c>
      <c r="D84" s="9" t="s">
        <v>173</v>
      </c>
      <c r="E84" s="9" t="s">
        <v>173</v>
      </c>
      <c r="F84" s="9" t="s">
        <v>174</v>
      </c>
    </row>
    <row r="85" spans="1:6">
      <c r="A85" s="2" t="s">
        <v>119</v>
      </c>
      <c r="B85" s="9">
        <v>0.48</v>
      </c>
      <c r="D85" s="9">
        <v>0.52</v>
      </c>
      <c r="F85" s="9">
        <v>0.51</v>
      </c>
    </row>
    <row r="86" spans="1:6" ht="30">
      <c r="A86" s="2" t="s">
        <v>120</v>
      </c>
      <c r="B86" s="9" t="s">
        <v>175</v>
      </c>
      <c r="C86" s="9" t="s">
        <v>175</v>
      </c>
      <c r="D86" s="9" t="s">
        <v>175</v>
      </c>
      <c r="E86" s="9" t="s">
        <v>175</v>
      </c>
      <c r="F86" s="9" t="s">
        <v>175</v>
      </c>
    </row>
    <row r="87" spans="1:6">
      <c r="A87" s="2" t="s">
        <v>121</v>
      </c>
      <c r="B87" s="9">
        <v>6.49</v>
      </c>
      <c r="D87" s="9">
        <v>6.74</v>
      </c>
      <c r="F87" s="9">
        <v>6.76</v>
      </c>
    </row>
    <row r="88" spans="1:6" ht="30">
      <c r="A88" s="2" t="s">
        <v>122</v>
      </c>
      <c r="B88" s="9" t="s">
        <v>175</v>
      </c>
      <c r="C88" s="9" t="s">
        <v>175</v>
      </c>
      <c r="D88" s="9" t="s">
        <v>175</v>
      </c>
      <c r="E88" s="9" t="s">
        <v>175</v>
      </c>
      <c r="F88" s="9" t="s">
        <v>175</v>
      </c>
    </row>
    <row r="89" spans="1:6">
      <c r="A89" s="4" t="s">
        <v>123</v>
      </c>
      <c r="B89" s="9" t="s">
        <v>176</v>
      </c>
      <c r="C89" s="9" t="s">
        <v>177</v>
      </c>
      <c r="D89" s="9" t="s">
        <v>178</v>
      </c>
      <c r="E89" s="9" t="s">
        <v>179</v>
      </c>
      <c r="F89" s="9" t="s">
        <v>180</v>
      </c>
    </row>
    <row r="90" spans="1:6">
      <c r="A90" s="4" t="s">
        <v>125</v>
      </c>
      <c r="B90" s="9" t="s">
        <v>181</v>
      </c>
      <c r="C90" s="9" t="s">
        <v>182</v>
      </c>
      <c r="D90" s="9" t="s">
        <v>183</v>
      </c>
      <c r="E90" s="9" t="s">
        <v>184</v>
      </c>
      <c r="F90" s="9" t="s">
        <v>185</v>
      </c>
    </row>
    <row r="91" spans="1:6">
      <c r="A91" s="4" t="s">
        <v>126</v>
      </c>
      <c r="B91" s="9" t="s">
        <v>186</v>
      </c>
      <c r="C91" s="9" t="s">
        <v>187</v>
      </c>
      <c r="D91" s="9" t="s">
        <v>188</v>
      </c>
      <c r="E91" s="9" t="s">
        <v>189</v>
      </c>
      <c r="F91" s="9" t="s">
        <v>188</v>
      </c>
    </row>
    <row r="92" spans="1:6">
      <c r="A92" s="4" t="s">
        <v>127</v>
      </c>
      <c r="B92" s="9" t="s">
        <v>190</v>
      </c>
      <c r="C92" s="9" t="s">
        <v>191</v>
      </c>
      <c r="D92" s="9" t="s">
        <v>192</v>
      </c>
      <c r="E92" s="9" t="s">
        <v>193</v>
      </c>
      <c r="F92" s="9" t="s">
        <v>194</v>
      </c>
    </row>
    <row r="93" spans="1:6" ht="30">
      <c r="A93" s="4" t="s">
        <v>128</v>
      </c>
      <c r="B93" s="9" t="s">
        <v>195</v>
      </c>
      <c r="C93" s="9" t="s">
        <v>195</v>
      </c>
      <c r="D93" s="9" t="s">
        <v>195</v>
      </c>
      <c r="E93" s="9" t="s">
        <v>195</v>
      </c>
      <c r="F93" s="9" t="s">
        <v>195</v>
      </c>
    </row>
    <row r="94" spans="1:6">
      <c r="A94" s="2" t="s">
        <v>142</v>
      </c>
      <c r="B94" s="9" t="s">
        <v>9</v>
      </c>
      <c r="C94" s="9" t="s">
        <v>9</v>
      </c>
      <c r="D94" s="9" t="s">
        <v>9</v>
      </c>
      <c r="E94" s="9" t="s">
        <v>9</v>
      </c>
      <c r="F94" s="9" t="s">
        <v>9</v>
      </c>
    </row>
    <row r="95" spans="1:6">
      <c r="A95" s="2" t="s">
        <v>143</v>
      </c>
      <c r="B95" s="9" t="s">
        <v>9</v>
      </c>
      <c r="C95" s="9" t="s">
        <v>9</v>
      </c>
      <c r="D95" s="9" t="s">
        <v>9</v>
      </c>
      <c r="E95" s="9" t="s">
        <v>9</v>
      </c>
      <c r="F95" s="9" t="s">
        <v>9</v>
      </c>
    </row>
    <row r="96" spans="1:6">
      <c r="A96" s="2" t="s">
        <v>144</v>
      </c>
      <c r="B96" s="9" t="s">
        <v>9</v>
      </c>
      <c r="C96" s="9" t="s">
        <v>9</v>
      </c>
      <c r="D96" s="9" t="s">
        <v>9</v>
      </c>
      <c r="E96" s="9" t="s">
        <v>9</v>
      </c>
      <c r="F96" s="9" t="s">
        <v>9</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BA2B5-6E0B-4A5C-AA1F-52296FC8F2E8}">
  <dimension ref="A1:Q78"/>
  <sheetViews>
    <sheetView zoomScale="110" zoomScaleNormal="80" workbookViewId="0">
      <pane xSplit="1" topLeftCell="P1" activePane="topRight" state="frozen"/>
      <selection pane="topRight" activeCell="I9" sqref="I9"/>
    </sheetView>
  </sheetViews>
  <sheetFormatPr defaultRowHeight="15"/>
  <cols>
    <col min="1" max="2" width="55.85546875" style="1" customWidth="1"/>
    <col min="3" max="3" width="61.7109375" style="1" customWidth="1"/>
    <col min="4" max="4" width="55.85546875" style="1" customWidth="1"/>
    <col min="5" max="5" width="69" style="1" customWidth="1"/>
    <col min="6" max="6" width="55.85546875" style="1" customWidth="1"/>
    <col min="7" max="7" width="69" style="1" customWidth="1"/>
    <col min="8" max="8" width="55.85546875" style="1" customWidth="1"/>
    <col min="9" max="9" width="69" style="1" customWidth="1"/>
    <col min="10" max="10" width="55.85546875" style="1" customWidth="1"/>
    <col min="11" max="11" width="69" style="1" customWidth="1"/>
    <col min="12" max="12" width="55.85546875" style="1" customWidth="1"/>
    <col min="13" max="13" width="69" style="1" customWidth="1"/>
    <col min="14" max="14" width="55.85546875" style="1" customWidth="1"/>
    <col min="15" max="15" width="69" style="1" customWidth="1"/>
    <col min="16" max="16" width="55.85546875" style="1" customWidth="1"/>
    <col min="17" max="17" width="69" style="1" customWidth="1"/>
    <col min="18" max="16384" width="9.140625" style="1"/>
  </cols>
  <sheetData>
    <row r="1" spans="1:17">
      <c r="A1" s="2" t="s">
        <v>0</v>
      </c>
      <c r="B1" s="6" t="s">
        <v>196</v>
      </c>
      <c r="C1" s="3" t="s">
        <v>4</v>
      </c>
      <c r="D1" s="6" t="s">
        <v>197</v>
      </c>
      <c r="E1" s="3" t="s">
        <v>4</v>
      </c>
      <c r="F1" s="6" t="s">
        <v>198</v>
      </c>
      <c r="G1" s="3" t="s">
        <v>4</v>
      </c>
      <c r="H1" s="6" t="s">
        <v>199</v>
      </c>
      <c r="I1" s="3" t="s">
        <v>4</v>
      </c>
      <c r="J1" s="6" t="s">
        <v>200</v>
      </c>
      <c r="K1" s="3" t="s">
        <v>4</v>
      </c>
      <c r="L1" s="6" t="s">
        <v>201</v>
      </c>
      <c r="M1" s="3" t="s">
        <v>4</v>
      </c>
      <c r="N1" s="6" t="s">
        <v>202</v>
      </c>
      <c r="O1" s="3" t="s">
        <v>4</v>
      </c>
      <c r="P1" s="6" t="s">
        <v>203</v>
      </c>
      <c r="Q1" s="3" t="s">
        <v>4</v>
      </c>
    </row>
    <row r="2" spans="1:17">
      <c r="A2" s="2" t="s">
        <v>5</v>
      </c>
      <c r="B2" s="7" t="s">
        <v>61</v>
      </c>
      <c r="C2" s="1" t="s">
        <v>204</v>
      </c>
      <c r="D2" s="7" t="s">
        <v>61</v>
      </c>
      <c r="E2" s="1" t="s">
        <v>204</v>
      </c>
      <c r="F2" s="7" t="s">
        <v>61</v>
      </c>
      <c r="G2" s="1" t="s">
        <v>204</v>
      </c>
      <c r="H2" s="7" t="s">
        <v>61</v>
      </c>
      <c r="I2" s="1" t="s">
        <v>204</v>
      </c>
      <c r="J2" s="7" t="s">
        <v>61</v>
      </c>
      <c r="K2" s="1" t="s">
        <v>204</v>
      </c>
      <c r="L2" s="7" t="s">
        <v>61</v>
      </c>
      <c r="M2" s="1" t="s">
        <v>204</v>
      </c>
      <c r="N2" s="7" t="s">
        <v>61</v>
      </c>
      <c r="O2" s="1" t="s">
        <v>204</v>
      </c>
      <c r="P2" s="7" t="s">
        <v>61</v>
      </c>
      <c r="Q2" s="1" t="s">
        <v>204</v>
      </c>
    </row>
    <row r="3" spans="1:17">
      <c r="A3" s="2" t="s">
        <v>8</v>
      </c>
      <c r="B3" s="7" t="s">
        <v>205</v>
      </c>
      <c r="C3" s="11" t="s">
        <v>206</v>
      </c>
      <c r="D3" s="7" t="s">
        <v>205</v>
      </c>
      <c r="E3" s="11" t="s">
        <v>206</v>
      </c>
      <c r="F3" s="7" t="s">
        <v>205</v>
      </c>
      <c r="G3" s="11" t="s">
        <v>206</v>
      </c>
      <c r="H3" s="7" t="s">
        <v>205</v>
      </c>
      <c r="I3" s="11" t="s">
        <v>206</v>
      </c>
      <c r="J3" s="7" t="s">
        <v>205</v>
      </c>
      <c r="K3" s="11" t="s">
        <v>206</v>
      </c>
      <c r="L3" s="7" t="s">
        <v>205</v>
      </c>
      <c r="M3" s="11" t="s">
        <v>206</v>
      </c>
      <c r="N3" s="7" t="s">
        <v>205</v>
      </c>
      <c r="O3" s="11" t="s">
        <v>206</v>
      </c>
      <c r="P3" s="7" t="s">
        <v>205</v>
      </c>
      <c r="Q3" s="11" t="s">
        <v>206</v>
      </c>
    </row>
    <row r="4" spans="1:17">
      <c r="A4" s="2" t="s">
        <v>10</v>
      </c>
      <c r="B4" s="7" t="s">
        <v>205</v>
      </c>
      <c r="C4" s="11"/>
      <c r="D4" s="7" t="s">
        <v>205</v>
      </c>
      <c r="E4" s="11"/>
      <c r="F4" s="7" t="s">
        <v>205</v>
      </c>
      <c r="G4" s="11"/>
      <c r="H4" s="7" t="s">
        <v>205</v>
      </c>
      <c r="I4" s="11"/>
      <c r="J4" s="7" t="s">
        <v>205</v>
      </c>
      <c r="K4" s="11"/>
      <c r="L4" s="7" t="s">
        <v>205</v>
      </c>
      <c r="M4" s="11"/>
      <c r="N4" s="7" t="s">
        <v>205</v>
      </c>
      <c r="O4" s="11"/>
      <c r="P4" s="7" t="s">
        <v>205</v>
      </c>
      <c r="Q4" s="11"/>
    </row>
    <row r="5" spans="1:17">
      <c r="A5" s="2" t="s">
        <v>11</v>
      </c>
      <c r="B5" s="7" t="s">
        <v>207</v>
      </c>
      <c r="C5" s="11" t="s">
        <v>208</v>
      </c>
      <c r="D5" s="7" t="s">
        <v>207</v>
      </c>
      <c r="E5" s="11" t="s">
        <v>208</v>
      </c>
      <c r="F5" s="7" t="s">
        <v>207</v>
      </c>
      <c r="G5" s="11" t="s">
        <v>208</v>
      </c>
      <c r="H5" s="7" t="s">
        <v>207</v>
      </c>
      <c r="I5" s="11" t="s">
        <v>208</v>
      </c>
      <c r="J5" s="7" t="s">
        <v>207</v>
      </c>
      <c r="K5" s="11" t="s">
        <v>208</v>
      </c>
      <c r="L5" s="7" t="s">
        <v>207</v>
      </c>
      <c r="M5" s="11" t="s">
        <v>208</v>
      </c>
      <c r="N5" s="7" t="s">
        <v>207</v>
      </c>
      <c r="O5" s="11" t="s">
        <v>208</v>
      </c>
      <c r="P5" s="7" t="s">
        <v>207</v>
      </c>
      <c r="Q5" s="11" t="s">
        <v>208</v>
      </c>
    </row>
    <row r="6" spans="1:17">
      <c r="A6" s="2" t="s">
        <v>12</v>
      </c>
      <c r="B6" s="7" t="s">
        <v>209</v>
      </c>
      <c r="C6" s="11"/>
      <c r="D6" s="7" t="s">
        <v>209</v>
      </c>
      <c r="E6" s="11"/>
      <c r="F6" s="7" t="s">
        <v>209</v>
      </c>
      <c r="G6" s="11"/>
      <c r="H6" s="7" t="s">
        <v>209</v>
      </c>
      <c r="I6" s="11"/>
      <c r="J6" s="7" t="s">
        <v>209</v>
      </c>
      <c r="K6" s="11"/>
      <c r="L6" s="7" t="s">
        <v>209</v>
      </c>
      <c r="M6" s="11"/>
      <c r="N6" s="7" t="s">
        <v>209</v>
      </c>
      <c r="O6" s="11"/>
      <c r="P6" s="7" t="s">
        <v>209</v>
      </c>
      <c r="Q6" s="11"/>
    </row>
    <row r="7" spans="1:17" ht="30">
      <c r="A7" s="2" t="s">
        <v>13</v>
      </c>
      <c r="B7" s="7" t="s">
        <v>210</v>
      </c>
      <c r="D7" s="7" t="s">
        <v>210</v>
      </c>
      <c r="F7" s="7" t="s">
        <v>210</v>
      </c>
      <c r="H7" s="7" t="s">
        <v>210</v>
      </c>
      <c r="J7" s="7" t="s">
        <v>210</v>
      </c>
      <c r="L7" s="7" t="s">
        <v>210</v>
      </c>
      <c r="N7" s="7" t="s">
        <v>210</v>
      </c>
      <c r="P7" s="7" t="s">
        <v>210</v>
      </c>
    </row>
    <row r="8" spans="1:17">
      <c r="A8" s="2" t="s">
        <v>14</v>
      </c>
      <c r="B8" s="7" t="s">
        <v>211</v>
      </c>
      <c r="C8" s="1" t="s">
        <v>212</v>
      </c>
      <c r="D8" s="7" t="s">
        <v>211</v>
      </c>
      <c r="E8" s="1" t="s">
        <v>212</v>
      </c>
      <c r="F8" s="7" t="s">
        <v>211</v>
      </c>
      <c r="G8" s="1" t="s">
        <v>212</v>
      </c>
      <c r="H8" s="7" t="s">
        <v>211</v>
      </c>
      <c r="I8" s="1" t="s">
        <v>212</v>
      </c>
      <c r="J8" s="7" t="s">
        <v>211</v>
      </c>
      <c r="K8" s="1" t="s">
        <v>212</v>
      </c>
      <c r="L8" s="7" t="s">
        <v>211</v>
      </c>
      <c r="M8" s="1" t="s">
        <v>212</v>
      </c>
      <c r="N8" s="7" t="s">
        <v>211</v>
      </c>
      <c r="O8" s="1" t="s">
        <v>212</v>
      </c>
      <c r="P8" s="7" t="s">
        <v>211</v>
      </c>
      <c r="Q8" s="1" t="s">
        <v>212</v>
      </c>
    </row>
    <row r="9" spans="1:17" ht="45.75" customHeight="1">
      <c r="A9" s="2" t="s">
        <v>17</v>
      </c>
      <c r="B9" s="7">
        <v>23</v>
      </c>
      <c r="C9" s="1" t="s">
        <v>213</v>
      </c>
      <c r="D9" s="7">
        <v>40</v>
      </c>
      <c r="E9" s="1" t="s">
        <v>213</v>
      </c>
      <c r="F9" s="7">
        <v>60</v>
      </c>
      <c r="G9" s="1" t="s">
        <v>213</v>
      </c>
      <c r="H9" s="7">
        <v>70</v>
      </c>
      <c r="I9" s="1" t="s">
        <v>213</v>
      </c>
      <c r="J9" s="7">
        <v>80</v>
      </c>
      <c r="K9" s="1" t="s">
        <v>213</v>
      </c>
      <c r="L9" s="7">
        <v>90</v>
      </c>
      <c r="M9" s="1" t="s">
        <v>213</v>
      </c>
      <c r="N9" s="7">
        <v>120</v>
      </c>
      <c r="O9" s="1" t="s">
        <v>213</v>
      </c>
      <c r="P9" s="7">
        <v>140</v>
      </c>
      <c r="Q9" s="1" t="s">
        <v>213</v>
      </c>
    </row>
    <row r="10" spans="1:17">
      <c r="A10" s="2" t="s">
        <v>19</v>
      </c>
      <c r="B10" s="7" t="s">
        <v>20</v>
      </c>
      <c r="D10" s="7" t="s">
        <v>20</v>
      </c>
      <c r="F10" s="7" t="s">
        <v>20</v>
      </c>
      <c r="H10" s="7" t="s">
        <v>20</v>
      </c>
      <c r="J10" s="7" t="s">
        <v>20</v>
      </c>
      <c r="L10" s="7" t="s">
        <v>20</v>
      </c>
      <c r="N10" s="7" t="s">
        <v>20</v>
      </c>
      <c r="P10" s="7" t="s">
        <v>20</v>
      </c>
    </row>
    <row r="11" spans="1:17">
      <c r="A11" s="4" t="s">
        <v>21</v>
      </c>
      <c r="B11" s="7">
        <v>300</v>
      </c>
      <c r="C11" s="11" t="s">
        <v>214</v>
      </c>
      <c r="D11" s="7">
        <v>300</v>
      </c>
      <c r="E11" s="11" t="s">
        <v>214</v>
      </c>
      <c r="F11" s="7">
        <v>300</v>
      </c>
      <c r="G11" s="11" t="s">
        <v>214</v>
      </c>
      <c r="H11" s="7">
        <v>300</v>
      </c>
      <c r="I11" s="11" t="s">
        <v>214</v>
      </c>
      <c r="J11" s="7">
        <v>300</v>
      </c>
      <c r="K11" s="11" t="s">
        <v>214</v>
      </c>
      <c r="L11" s="7">
        <v>300</v>
      </c>
      <c r="M11" s="11" t="s">
        <v>214</v>
      </c>
      <c r="N11" s="7">
        <v>300</v>
      </c>
      <c r="O11" s="11" t="s">
        <v>214</v>
      </c>
      <c r="P11" s="7">
        <v>300</v>
      </c>
      <c r="Q11" s="11" t="s">
        <v>214</v>
      </c>
    </row>
    <row r="12" spans="1:17">
      <c r="A12" s="2" t="s">
        <v>22</v>
      </c>
      <c r="B12" s="7" t="s">
        <v>215</v>
      </c>
      <c r="C12" s="11"/>
      <c r="D12" s="7" t="s">
        <v>215</v>
      </c>
      <c r="E12" s="11"/>
      <c r="F12" s="7" t="s">
        <v>215</v>
      </c>
      <c r="G12" s="11"/>
      <c r="H12" s="7" t="s">
        <v>215</v>
      </c>
      <c r="I12" s="11"/>
      <c r="J12" s="7" t="s">
        <v>215</v>
      </c>
      <c r="K12" s="11"/>
      <c r="L12" s="7" t="s">
        <v>215</v>
      </c>
      <c r="M12" s="11"/>
      <c r="N12" s="7" t="s">
        <v>215</v>
      </c>
      <c r="O12" s="11"/>
      <c r="P12" s="7" t="s">
        <v>215</v>
      </c>
      <c r="Q12" s="11"/>
    </row>
    <row r="13" spans="1:17">
      <c r="A13" s="2" t="s">
        <v>23</v>
      </c>
      <c r="B13" s="7" t="s">
        <v>9</v>
      </c>
      <c r="D13" s="7" t="s">
        <v>9</v>
      </c>
      <c r="F13" s="7" t="s">
        <v>9</v>
      </c>
      <c r="H13" s="7" t="s">
        <v>9</v>
      </c>
      <c r="J13" s="7" t="s">
        <v>9</v>
      </c>
      <c r="L13" s="7" t="s">
        <v>9</v>
      </c>
      <c r="N13" s="7" t="s">
        <v>9</v>
      </c>
      <c r="P13" s="7" t="s">
        <v>9</v>
      </c>
    </row>
    <row r="14" spans="1:17">
      <c r="A14" s="2" t="s">
        <v>24</v>
      </c>
      <c r="B14" s="7" t="s">
        <v>9</v>
      </c>
      <c r="D14" s="7" t="s">
        <v>9</v>
      </c>
      <c r="F14" s="7" t="s">
        <v>9</v>
      </c>
      <c r="H14" s="7" t="s">
        <v>9</v>
      </c>
      <c r="J14" s="7" t="s">
        <v>9</v>
      </c>
      <c r="L14" s="7" t="s">
        <v>9</v>
      </c>
      <c r="N14" s="7" t="s">
        <v>9</v>
      </c>
      <c r="P14" s="7" t="s">
        <v>9</v>
      </c>
    </row>
    <row r="15" spans="1:17">
      <c r="A15" s="2" t="s">
        <v>25</v>
      </c>
      <c r="B15" s="7" t="b">
        <v>1</v>
      </c>
      <c r="D15" s="7" t="b">
        <v>1</v>
      </c>
      <c r="F15" s="7" t="b">
        <v>1</v>
      </c>
      <c r="H15" s="7" t="b">
        <v>1</v>
      </c>
      <c r="J15" s="7" t="b">
        <v>1</v>
      </c>
      <c r="L15" s="7" t="b">
        <v>1</v>
      </c>
      <c r="N15" s="7" t="b">
        <v>1</v>
      </c>
      <c r="P15" s="7" t="b">
        <v>1</v>
      </c>
    </row>
    <row r="16" spans="1:17" ht="30">
      <c r="A16" s="4" t="s">
        <v>216</v>
      </c>
      <c r="B16" s="7" t="s">
        <v>217</v>
      </c>
      <c r="C16" s="1" t="s">
        <v>218</v>
      </c>
      <c r="D16" s="7" t="s">
        <v>217</v>
      </c>
      <c r="E16" s="1" t="s">
        <v>218</v>
      </c>
      <c r="F16" s="7" t="s">
        <v>217</v>
      </c>
      <c r="H16" s="7" t="s">
        <v>217</v>
      </c>
      <c r="J16" s="7" t="s">
        <v>217</v>
      </c>
      <c r="L16" s="7" t="s">
        <v>217</v>
      </c>
      <c r="N16" s="7" t="s">
        <v>217</v>
      </c>
      <c r="P16" s="7" t="s">
        <v>217</v>
      </c>
    </row>
    <row r="17" spans="1:17">
      <c r="A17" s="4" t="s">
        <v>219</v>
      </c>
      <c r="B17" s="7" t="s">
        <v>9</v>
      </c>
      <c r="D17" s="7" t="s">
        <v>9</v>
      </c>
      <c r="F17" s="7" t="s">
        <v>9</v>
      </c>
      <c r="H17" s="7" t="s">
        <v>9</v>
      </c>
      <c r="J17" s="7" t="s">
        <v>9</v>
      </c>
      <c r="L17" s="7" t="s">
        <v>9</v>
      </c>
      <c r="N17" s="7" t="s">
        <v>9</v>
      </c>
      <c r="P17" s="7" t="s">
        <v>9</v>
      </c>
    </row>
    <row r="18" spans="1:17" ht="30">
      <c r="A18" s="4" t="s">
        <v>220</v>
      </c>
      <c r="B18" s="7" t="s">
        <v>217</v>
      </c>
      <c r="C18" s="1" t="s">
        <v>218</v>
      </c>
      <c r="D18" s="7" t="s">
        <v>217</v>
      </c>
      <c r="E18" s="1" t="s">
        <v>218</v>
      </c>
      <c r="F18" s="7" t="s">
        <v>217</v>
      </c>
      <c r="H18" s="7" t="s">
        <v>217</v>
      </c>
      <c r="J18" s="7" t="s">
        <v>217</v>
      </c>
      <c r="L18" s="7" t="s">
        <v>217</v>
      </c>
      <c r="N18" s="7" t="s">
        <v>217</v>
      </c>
      <c r="P18" s="7" t="s">
        <v>217</v>
      </c>
    </row>
    <row r="19" spans="1:17">
      <c r="A19" s="4" t="s">
        <v>221</v>
      </c>
      <c r="B19" s="7" t="s">
        <v>9</v>
      </c>
      <c r="D19" s="7" t="s">
        <v>9</v>
      </c>
      <c r="F19" s="7" t="s">
        <v>9</v>
      </c>
      <c r="H19" s="7" t="s">
        <v>9</v>
      </c>
      <c r="J19" s="7" t="s">
        <v>9</v>
      </c>
      <c r="L19" s="7" t="s">
        <v>9</v>
      </c>
      <c r="N19" s="7" t="s">
        <v>9</v>
      </c>
      <c r="P19" s="7" t="s">
        <v>9</v>
      </c>
    </row>
    <row r="20" spans="1:17">
      <c r="A20" s="2" t="s">
        <v>27</v>
      </c>
      <c r="B20" s="7" t="s">
        <v>9</v>
      </c>
      <c r="D20" s="7" t="s">
        <v>9</v>
      </c>
      <c r="F20" s="7" t="s">
        <v>9</v>
      </c>
      <c r="H20" s="7" t="s">
        <v>9</v>
      </c>
      <c r="J20" s="7" t="s">
        <v>9</v>
      </c>
      <c r="L20" s="7" t="s">
        <v>9</v>
      </c>
      <c r="N20" s="7" t="s">
        <v>9</v>
      </c>
      <c r="P20" s="7" t="s">
        <v>9</v>
      </c>
    </row>
    <row r="21" spans="1:17" ht="45">
      <c r="A21" s="2" t="s">
        <v>28</v>
      </c>
      <c r="B21" s="7" t="s">
        <v>9</v>
      </c>
      <c r="D21" s="7">
        <v>820</v>
      </c>
      <c r="E21" s="1" t="s">
        <v>222</v>
      </c>
      <c r="F21" s="7" t="s">
        <v>9</v>
      </c>
      <c r="G21" s="1" t="s">
        <v>223</v>
      </c>
      <c r="H21" s="7">
        <f>H39*H24</f>
        <v>960</v>
      </c>
      <c r="I21" s="1" t="s">
        <v>223</v>
      </c>
      <c r="J21" s="7">
        <f>J39*J24</f>
        <v>1170</v>
      </c>
      <c r="K21" s="1" t="s">
        <v>223</v>
      </c>
      <c r="L21" s="7" t="s">
        <v>9</v>
      </c>
      <c r="M21" s="1" t="s">
        <v>223</v>
      </c>
      <c r="N21" s="7">
        <v>1390</v>
      </c>
      <c r="O21" s="1" t="s">
        <v>223</v>
      </c>
      <c r="P21" s="7" t="s">
        <v>9</v>
      </c>
      <c r="Q21" s="1" t="s">
        <v>223</v>
      </c>
    </row>
    <row r="22" spans="1:17">
      <c r="A22" s="2" t="s">
        <v>30</v>
      </c>
      <c r="B22" s="7" t="s">
        <v>9</v>
      </c>
      <c r="D22" s="7" t="s">
        <v>224</v>
      </c>
      <c r="F22" s="7" t="s">
        <v>9</v>
      </c>
      <c r="H22" s="7" t="s">
        <v>224</v>
      </c>
      <c r="J22" s="7" t="s">
        <v>224</v>
      </c>
      <c r="L22" s="7" t="s">
        <v>9</v>
      </c>
      <c r="N22" s="7" t="s">
        <v>224</v>
      </c>
      <c r="P22" s="7" t="s">
        <v>9</v>
      </c>
    </row>
    <row r="23" spans="1:17" ht="45">
      <c r="A23" s="2" t="s">
        <v>225</v>
      </c>
      <c r="B23" s="7" t="s">
        <v>226</v>
      </c>
      <c r="C23" s="1" t="s">
        <v>223</v>
      </c>
      <c r="D23" s="7" t="s">
        <v>226</v>
      </c>
      <c r="E23" s="1" t="s">
        <v>223</v>
      </c>
      <c r="F23" s="7" t="s">
        <v>226</v>
      </c>
      <c r="G23" s="1" t="s">
        <v>223</v>
      </c>
      <c r="H23" s="7" t="s">
        <v>226</v>
      </c>
      <c r="I23" s="1" t="s">
        <v>223</v>
      </c>
      <c r="J23" s="7" t="s">
        <v>226</v>
      </c>
      <c r="K23" s="1" t="s">
        <v>223</v>
      </c>
      <c r="L23" s="7" t="s">
        <v>226</v>
      </c>
      <c r="M23" s="1" t="s">
        <v>223</v>
      </c>
      <c r="N23" s="7" t="s">
        <v>226</v>
      </c>
      <c r="O23" s="1" t="s">
        <v>223</v>
      </c>
      <c r="P23" s="7" t="s">
        <v>226</v>
      </c>
      <c r="Q23" s="1" t="s">
        <v>223</v>
      </c>
    </row>
    <row r="24" spans="1:17" ht="30">
      <c r="A24" s="2" t="s">
        <v>32</v>
      </c>
      <c r="B24" s="7">
        <v>600</v>
      </c>
      <c r="C24" s="1" t="s">
        <v>227</v>
      </c>
      <c r="D24" s="7">
        <v>600</v>
      </c>
      <c r="E24" s="1" t="s">
        <v>227</v>
      </c>
      <c r="F24" s="7">
        <v>600</v>
      </c>
      <c r="G24" s="1" t="s">
        <v>227</v>
      </c>
      <c r="H24" s="7">
        <v>600</v>
      </c>
      <c r="I24" s="1" t="s">
        <v>227</v>
      </c>
      <c r="J24" s="7">
        <v>600</v>
      </c>
      <c r="K24" s="1" t="s">
        <v>227</v>
      </c>
      <c r="L24" s="7">
        <v>600</v>
      </c>
      <c r="M24" s="1" t="s">
        <v>227</v>
      </c>
      <c r="N24" s="7">
        <v>600</v>
      </c>
      <c r="O24" s="1" t="s">
        <v>227</v>
      </c>
      <c r="P24" s="7">
        <v>600</v>
      </c>
      <c r="Q24" s="1" t="s">
        <v>227</v>
      </c>
    </row>
    <row r="25" spans="1:17">
      <c r="A25" s="2" t="s">
        <v>33</v>
      </c>
      <c r="B25" s="7" t="s">
        <v>9</v>
      </c>
      <c r="D25" s="7" t="s">
        <v>9</v>
      </c>
      <c r="F25" s="7" t="s">
        <v>9</v>
      </c>
      <c r="H25" s="7" t="s">
        <v>9</v>
      </c>
      <c r="J25" s="7" t="s">
        <v>9</v>
      </c>
      <c r="L25" s="7" t="s">
        <v>9</v>
      </c>
      <c r="N25" s="7" t="s">
        <v>9</v>
      </c>
      <c r="P25" s="7" t="s">
        <v>9</v>
      </c>
    </row>
    <row r="26" spans="1:17">
      <c r="A26" s="4" t="s">
        <v>228</v>
      </c>
      <c r="B26" s="7" t="s">
        <v>9</v>
      </c>
      <c r="D26" s="8">
        <f>D21/D24</f>
        <v>1.3666666666666667</v>
      </c>
      <c r="E26" s="1" t="s">
        <v>229</v>
      </c>
      <c r="F26" s="7" t="s">
        <v>9</v>
      </c>
      <c r="H26" s="7" t="s">
        <v>9</v>
      </c>
      <c r="J26" s="7" t="s">
        <v>9</v>
      </c>
      <c r="L26" s="7" t="s">
        <v>9</v>
      </c>
      <c r="N26" s="7" t="s">
        <v>9</v>
      </c>
      <c r="P26" s="7" t="s">
        <v>9</v>
      </c>
    </row>
    <row r="27" spans="1:17">
      <c r="A27" s="2" t="s">
        <v>35</v>
      </c>
      <c r="B27" s="7" t="s">
        <v>9</v>
      </c>
      <c r="D27" s="7" t="s">
        <v>9</v>
      </c>
      <c r="F27" s="7" t="s">
        <v>9</v>
      </c>
      <c r="H27" s="7" t="s">
        <v>9</v>
      </c>
      <c r="J27" s="7" t="s">
        <v>9</v>
      </c>
      <c r="L27" s="7" t="s">
        <v>9</v>
      </c>
      <c r="N27" s="7" t="s">
        <v>9</v>
      </c>
      <c r="P27" s="7" t="s">
        <v>9</v>
      </c>
    </row>
    <row r="28" spans="1:17">
      <c r="A28" s="2" t="s">
        <v>39</v>
      </c>
      <c r="B28" s="7" t="s">
        <v>61</v>
      </c>
      <c r="D28" s="7" t="s">
        <v>61</v>
      </c>
      <c r="F28" s="7" t="s">
        <v>61</v>
      </c>
      <c r="H28" s="7" t="s">
        <v>61</v>
      </c>
      <c r="J28" s="7" t="s">
        <v>61</v>
      </c>
      <c r="L28" s="7" t="s">
        <v>61</v>
      </c>
      <c r="N28" s="7" t="s">
        <v>61</v>
      </c>
      <c r="P28" s="7" t="s">
        <v>61</v>
      </c>
    </row>
    <row r="29" spans="1:17">
      <c r="A29" s="2" t="s">
        <v>42</v>
      </c>
      <c r="B29" s="7" t="s">
        <v>43</v>
      </c>
      <c r="D29" s="7" t="s">
        <v>43</v>
      </c>
      <c r="F29" s="7" t="s">
        <v>43</v>
      </c>
      <c r="H29" s="7" t="s">
        <v>43</v>
      </c>
      <c r="J29" s="7" t="s">
        <v>43</v>
      </c>
      <c r="L29" s="7" t="s">
        <v>43</v>
      </c>
      <c r="N29" s="7" t="s">
        <v>43</v>
      </c>
      <c r="P29" s="7" t="s">
        <v>43</v>
      </c>
    </row>
    <row r="30" spans="1:17">
      <c r="A30" s="2" t="s">
        <v>44</v>
      </c>
      <c r="B30" s="7" t="s">
        <v>230</v>
      </c>
      <c r="C30" s="11" t="s">
        <v>231</v>
      </c>
      <c r="D30" s="7" t="s">
        <v>230</v>
      </c>
      <c r="E30" s="11" t="s">
        <v>231</v>
      </c>
      <c r="F30" s="7" t="s">
        <v>230</v>
      </c>
      <c r="G30" s="11" t="s">
        <v>231</v>
      </c>
      <c r="H30" s="7" t="s">
        <v>230</v>
      </c>
      <c r="I30" s="11" t="s">
        <v>231</v>
      </c>
      <c r="J30" s="7" t="s">
        <v>230</v>
      </c>
      <c r="K30" s="11" t="s">
        <v>231</v>
      </c>
      <c r="L30" s="7" t="s">
        <v>230</v>
      </c>
      <c r="M30" s="11" t="s">
        <v>231</v>
      </c>
      <c r="N30" s="7" t="s">
        <v>230</v>
      </c>
      <c r="O30" s="11" t="s">
        <v>231</v>
      </c>
      <c r="P30" s="7" t="s">
        <v>230</v>
      </c>
      <c r="Q30" s="11" t="s">
        <v>231</v>
      </c>
    </row>
    <row r="31" spans="1:17">
      <c r="A31" s="2" t="s">
        <v>48</v>
      </c>
      <c r="B31" s="7" t="s">
        <v>232</v>
      </c>
      <c r="C31" s="11"/>
      <c r="D31" s="7" t="s">
        <v>232</v>
      </c>
      <c r="E31" s="11"/>
      <c r="F31" s="7" t="s">
        <v>232</v>
      </c>
      <c r="G31" s="11"/>
      <c r="H31" s="7" t="s">
        <v>232</v>
      </c>
      <c r="I31" s="11"/>
      <c r="J31" s="7" t="s">
        <v>232</v>
      </c>
      <c r="K31" s="11"/>
      <c r="L31" s="7" t="s">
        <v>232</v>
      </c>
      <c r="M31" s="11"/>
      <c r="N31" s="7" t="s">
        <v>232</v>
      </c>
      <c r="O31" s="11"/>
      <c r="P31" s="7" t="s">
        <v>232</v>
      </c>
      <c r="Q31" s="11"/>
    </row>
    <row r="32" spans="1:17">
      <c r="A32" s="4" t="s">
        <v>50</v>
      </c>
      <c r="B32" s="7">
        <v>2500</v>
      </c>
      <c r="C32" s="11" t="s">
        <v>233</v>
      </c>
      <c r="D32" s="7">
        <v>2500</v>
      </c>
      <c r="E32" s="11" t="s">
        <v>233</v>
      </c>
      <c r="F32" s="7">
        <v>2500</v>
      </c>
      <c r="G32" s="11" t="s">
        <v>233</v>
      </c>
      <c r="H32" s="7">
        <v>2500</v>
      </c>
      <c r="I32" s="11" t="s">
        <v>233</v>
      </c>
      <c r="J32" s="7">
        <v>2500</v>
      </c>
      <c r="K32" s="11" t="s">
        <v>233</v>
      </c>
      <c r="L32" s="7">
        <v>2500</v>
      </c>
      <c r="M32" s="11" t="s">
        <v>233</v>
      </c>
      <c r="N32" s="7">
        <v>2500</v>
      </c>
      <c r="O32" s="11" t="s">
        <v>233</v>
      </c>
      <c r="P32" s="7">
        <v>2500</v>
      </c>
      <c r="Q32" s="11" t="s">
        <v>233</v>
      </c>
    </row>
    <row r="33" spans="1:17">
      <c r="A33" s="2" t="s">
        <v>51</v>
      </c>
      <c r="B33" s="7">
        <v>2500</v>
      </c>
      <c r="C33" s="11"/>
      <c r="D33" s="7">
        <v>2500</v>
      </c>
      <c r="E33" s="11"/>
      <c r="F33" s="7">
        <v>2500</v>
      </c>
      <c r="G33" s="11"/>
      <c r="H33" s="7">
        <v>2500</v>
      </c>
      <c r="I33" s="11"/>
      <c r="J33" s="7">
        <v>2500</v>
      </c>
      <c r="K33" s="11"/>
      <c r="L33" s="7">
        <v>2500</v>
      </c>
      <c r="M33" s="11"/>
      <c r="N33" s="7">
        <v>2500</v>
      </c>
      <c r="O33" s="11"/>
      <c r="P33" s="7">
        <v>2500</v>
      </c>
      <c r="Q33" s="11"/>
    </row>
    <row r="34" spans="1:17">
      <c r="A34" s="2" t="s">
        <v>52</v>
      </c>
      <c r="B34" s="7">
        <v>10000</v>
      </c>
      <c r="C34" s="11"/>
      <c r="D34" s="7">
        <v>10000</v>
      </c>
      <c r="E34" s="11"/>
      <c r="F34" s="7">
        <v>10000</v>
      </c>
      <c r="G34" s="11"/>
      <c r="H34" s="7">
        <v>10000</v>
      </c>
      <c r="I34" s="11"/>
      <c r="J34" s="7">
        <v>10000</v>
      </c>
      <c r="K34" s="11"/>
      <c r="L34" s="7">
        <v>10000</v>
      </c>
      <c r="M34" s="11"/>
      <c r="N34" s="7">
        <v>10000</v>
      </c>
      <c r="O34" s="11"/>
      <c r="P34" s="7">
        <v>10000</v>
      </c>
      <c r="Q34" s="11"/>
    </row>
    <row r="35" spans="1:17">
      <c r="A35" s="2" t="s">
        <v>53</v>
      </c>
      <c r="B35" s="7">
        <v>10000</v>
      </c>
      <c r="C35" s="11"/>
      <c r="D35" s="7">
        <v>10000</v>
      </c>
      <c r="E35" s="11"/>
      <c r="F35" s="7">
        <v>10000</v>
      </c>
      <c r="G35" s="11"/>
      <c r="H35" s="7">
        <v>10000</v>
      </c>
      <c r="I35" s="11"/>
      <c r="J35" s="7">
        <v>10000</v>
      </c>
      <c r="K35" s="11"/>
      <c r="L35" s="7">
        <v>10000</v>
      </c>
      <c r="M35" s="11"/>
      <c r="N35" s="7">
        <v>10000</v>
      </c>
      <c r="O35" s="11"/>
      <c r="P35" s="7">
        <v>10000</v>
      </c>
      <c r="Q35" s="11"/>
    </row>
    <row r="36" spans="1:17">
      <c r="A36" s="2" t="s">
        <v>54</v>
      </c>
      <c r="B36" s="7" t="s">
        <v>9</v>
      </c>
      <c r="D36" s="7" t="s">
        <v>9</v>
      </c>
      <c r="F36" s="7" t="s">
        <v>9</v>
      </c>
      <c r="H36" s="7" t="s">
        <v>9</v>
      </c>
      <c r="J36" s="7" t="s">
        <v>9</v>
      </c>
      <c r="L36" s="7" t="s">
        <v>9</v>
      </c>
      <c r="N36" s="7" t="s">
        <v>9</v>
      </c>
      <c r="P36" s="7" t="s">
        <v>9</v>
      </c>
    </row>
    <row r="37" spans="1:17">
      <c r="A37" s="2" t="s">
        <v>55</v>
      </c>
      <c r="B37" s="7" t="s">
        <v>9</v>
      </c>
      <c r="D37" s="7" t="s">
        <v>9</v>
      </c>
      <c r="F37" s="7" t="s">
        <v>9</v>
      </c>
      <c r="H37" s="7" t="s">
        <v>9</v>
      </c>
      <c r="J37" s="7" t="s">
        <v>9</v>
      </c>
      <c r="L37" s="7" t="s">
        <v>9</v>
      </c>
      <c r="N37" s="7" t="s">
        <v>9</v>
      </c>
      <c r="P37" s="7" t="s">
        <v>9</v>
      </c>
    </row>
    <row r="38" spans="1:17">
      <c r="A38" s="2" t="s">
        <v>56</v>
      </c>
      <c r="B38" s="7" t="s">
        <v>9</v>
      </c>
      <c r="D38" s="7" t="s">
        <v>9</v>
      </c>
      <c r="F38" s="7" t="s">
        <v>9</v>
      </c>
      <c r="H38" s="7" t="s">
        <v>9</v>
      </c>
      <c r="J38" s="7" t="s">
        <v>9</v>
      </c>
      <c r="L38" s="7" t="s">
        <v>9</v>
      </c>
      <c r="N38" s="7" t="s">
        <v>9</v>
      </c>
      <c r="P38" s="7" t="s">
        <v>9</v>
      </c>
    </row>
    <row r="39" spans="1:17" ht="45">
      <c r="A39" s="4" t="s">
        <v>234</v>
      </c>
      <c r="B39" s="7" t="s">
        <v>9</v>
      </c>
      <c r="D39" s="7" t="s">
        <v>9</v>
      </c>
      <c r="F39" s="7" t="s">
        <v>9</v>
      </c>
      <c r="H39" s="7">
        <v>1.6</v>
      </c>
      <c r="J39" s="7">
        <v>1.95</v>
      </c>
      <c r="K39" s="1" t="s">
        <v>235</v>
      </c>
      <c r="L39" s="7" t="s">
        <v>9</v>
      </c>
      <c r="N39" s="8">
        <f>N21/N24</f>
        <v>2.3166666666666669</v>
      </c>
      <c r="P39" s="7" t="s">
        <v>9</v>
      </c>
    </row>
    <row r="40" spans="1:17">
      <c r="A40" s="2" t="s">
        <v>58</v>
      </c>
      <c r="B40" s="7" t="s">
        <v>9</v>
      </c>
      <c r="D40" s="7" t="s">
        <v>9</v>
      </c>
      <c r="F40" s="7" t="s">
        <v>9</v>
      </c>
      <c r="H40" s="7" t="s">
        <v>9</v>
      </c>
      <c r="J40" s="7" t="s">
        <v>9</v>
      </c>
      <c r="L40" s="7" t="s">
        <v>9</v>
      </c>
      <c r="N40" s="7" t="s">
        <v>9</v>
      </c>
      <c r="P40" s="7" t="s">
        <v>9</v>
      </c>
    </row>
    <row r="41" spans="1:17">
      <c r="A41" s="4" t="s">
        <v>59</v>
      </c>
      <c r="B41" s="7" t="s">
        <v>9</v>
      </c>
      <c r="D41" s="7" t="s">
        <v>9</v>
      </c>
      <c r="F41" s="7" t="s">
        <v>9</v>
      </c>
      <c r="H41" s="7" t="s">
        <v>9</v>
      </c>
      <c r="J41" s="7" t="s">
        <v>9</v>
      </c>
      <c r="L41" s="7" t="s">
        <v>9</v>
      </c>
      <c r="N41" s="7" t="s">
        <v>9</v>
      </c>
      <c r="P41" s="7" t="s">
        <v>9</v>
      </c>
    </row>
    <row r="42" spans="1:17">
      <c r="A42" s="2" t="s">
        <v>90</v>
      </c>
      <c r="B42" s="7" t="s">
        <v>9</v>
      </c>
      <c r="D42" s="7" t="s">
        <v>9</v>
      </c>
      <c r="F42" s="7" t="s">
        <v>9</v>
      </c>
      <c r="H42" s="7" t="s">
        <v>9</v>
      </c>
      <c r="J42" s="7" t="s">
        <v>9</v>
      </c>
      <c r="L42" s="7" t="s">
        <v>9</v>
      </c>
      <c r="N42" s="7" t="s">
        <v>9</v>
      </c>
      <c r="P42" s="7" t="s">
        <v>9</v>
      </c>
    </row>
    <row r="43" spans="1:17">
      <c r="A43" s="2" t="s">
        <v>91</v>
      </c>
      <c r="B43" s="7" t="s">
        <v>9</v>
      </c>
      <c r="D43" s="7" t="s">
        <v>9</v>
      </c>
      <c r="F43" s="7" t="s">
        <v>9</v>
      </c>
      <c r="H43" s="7" t="s">
        <v>9</v>
      </c>
      <c r="J43" s="7" t="s">
        <v>9</v>
      </c>
      <c r="L43" s="7" t="s">
        <v>9</v>
      </c>
      <c r="N43" s="7" t="s">
        <v>9</v>
      </c>
      <c r="P43" s="7" t="s">
        <v>9</v>
      </c>
    </row>
    <row r="44" spans="1:17">
      <c r="A44" s="2" t="s">
        <v>92</v>
      </c>
      <c r="B44" s="7" t="s">
        <v>9</v>
      </c>
      <c r="D44" s="7" t="s">
        <v>9</v>
      </c>
      <c r="F44" s="7" t="s">
        <v>9</v>
      </c>
      <c r="H44" s="7" t="s">
        <v>9</v>
      </c>
      <c r="J44" s="7" t="s">
        <v>9</v>
      </c>
      <c r="L44" s="7" t="s">
        <v>9</v>
      </c>
      <c r="N44" s="7" t="s">
        <v>9</v>
      </c>
      <c r="P44" s="7" t="s">
        <v>9</v>
      </c>
    </row>
    <row r="45" spans="1:17">
      <c r="A45" s="2" t="s">
        <v>93</v>
      </c>
      <c r="B45" s="7" t="s">
        <v>9</v>
      </c>
      <c r="D45" s="7" t="s">
        <v>9</v>
      </c>
      <c r="F45" s="7" t="s">
        <v>9</v>
      </c>
      <c r="H45" s="7" t="s">
        <v>9</v>
      </c>
      <c r="J45" s="7" t="s">
        <v>9</v>
      </c>
      <c r="L45" s="7" t="s">
        <v>9</v>
      </c>
      <c r="N45" s="7" t="s">
        <v>9</v>
      </c>
      <c r="P45" s="7" t="s">
        <v>9</v>
      </c>
    </row>
    <row r="46" spans="1:17">
      <c r="A46" s="2" t="s">
        <v>94</v>
      </c>
      <c r="B46" s="7" t="s">
        <v>9</v>
      </c>
      <c r="D46" s="7" t="s">
        <v>9</v>
      </c>
      <c r="F46" s="7" t="s">
        <v>9</v>
      </c>
      <c r="H46" s="7" t="s">
        <v>9</v>
      </c>
      <c r="J46" s="7" t="s">
        <v>9</v>
      </c>
      <c r="L46" s="7" t="s">
        <v>9</v>
      </c>
      <c r="N46" s="7" t="s">
        <v>9</v>
      </c>
      <c r="P46" s="7" t="s">
        <v>9</v>
      </c>
    </row>
    <row r="47" spans="1:17">
      <c r="A47" s="2" t="s">
        <v>95</v>
      </c>
      <c r="B47" s="7" t="s">
        <v>9</v>
      </c>
      <c r="D47" s="7" t="s">
        <v>9</v>
      </c>
      <c r="F47" s="7" t="s">
        <v>9</v>
      </c>
      <c r="H47" s="7" t="s">
        <v>9</v>
      </c>
      <c r="J47" s="7" t="s">
        <v>9</v>
      </c>
      <c r="L47" s="7" t="s">
        <v>9</v>
      </c>
      <c r="N47" s="7" t="s">
        <v>9</v>
      </c>
      <c r="P47" s="7" t="s">
        <v>9</v>
      </c>
    </row>
    <row r="48" spans="1:17">
      <c r="A48" s="2" t="s">
        <v>96</v>
      </c>
      <c r="B48" s="7" t="s">
        <v>9</v>
      </c>
      <c r="D48" s="7" t="s">
        <v>9</v>
      </c>
      <c r="F48" s="7" t="s">
        <v>9</v>
      </c>
      <c r="H48" s="7" t="s">
        <v>9</v>
      </c>
      <c r="J48" s="7" t="s">
        <v>9</v>
      </c>
      <c r="L48" s="7" t="s">
        <v>9</v>
      </c>
      <c r="N48" s="7" t="s">
        <v>9</v>
      </c>
      <c r="P48" s="7" t="s">
        <v>9</v>
      </c>
    </row>
    <row r="49" spans="1:17">
      <c r="A49" s="2" t="s">
        <v>97</v>
      </c>
      <c r="B49" s="7" t="s">
        <v>9</v>
      </c>
      <c r="D49" s="7" t="s">
        <v>9</v>
      </c>
      <c r="F49" s="7" t="s">
        <v>9</v>
      </c>
      <c r="H49" s="7" t="s">
        <v>9</v>
      </c>
      <c r="J49" s="7" t="s">
        <v>9</v>
      </c>
      <c r="L49" s="7" t="s">
        <v>9</v>
      </c>
      <c r="N49" s="7" t="s">
        <v>9</v>
      </c>
      <c r="P49" s="7" t="s">
        <v>9</v>
      </c>
    </row>
    <row r="50" spans="1:17">
      <c r="A50" s="2" t="s">
        <v>98</v>
      </c>
      <c r="B50" s="7" t="s">
        <v>9</v>
      </c>
      <c r="D50" s="7" t="s">
        <v>9</v>
      </c>
      <c r="F50" s="7" t="s">
        <v>9</v>
      </c>
      <c r="H50" s="7" t="s">
        <v>9</v>
      </c>
      <c r="J50" s="7" t="s">
        <v>9</v>
      </c>
      <c r="L50" s="7" t="s">
        <v>9</v>
      </c>
      <c r="N50" s="7" t="s">
        <v>9</v>
      </c>
      <c r="P50" s="7" t="s">
        <v>9</v>
      </c>
    </row>
    <row r="51" spans="1:17">
      <c r="A51" s="2" t="s">
        <v>99</v>
      </c>
      <c r="B51" s="7" t="s">
        <v>9</v>
      </c>
      <c r="D51" s="7" t="s">
        <v>9</v>
      </c>
      <c r="F51" s="7" t="s">
        <v>9</v>
      </c>
      <c r="H51" s="7" t="s">
        <v>9</v>
      </c>
      <c r="J51" s="7" t="s">
        <v>9</v>
      </c>
      <c r="L51" s="7" t="s">
        <v>9</v>
      </c>
      <c r="N51" s="7" t="s">
        <v>9</v>
      </c>
      <c r="P51" s="7" t="s">
        <v>9</v>
      </c>
    </row>
    <row r="52" spans="1:17">
      <c r="A52" s="2" t="s">
        <v>100</v>
      </c>
      <c r="B52" s="7" t="s">
        <v>9</v>
      </c>
      <c r="D52" s="7" t="s">
        <v>9</v>
      </c>
      <c r="F52" s="7" t="s">
        <v>9</v>
      </c>
      <c r="H52" s="7" t="s">
        <v>9</v>
      </c>
      <c r="J52" s="7" t="s">
        <v>9</v>
      </c>
      <c r="L52" s="7" t="s">
        <v>9</v>
      </c>
      <c r="N52" s="7" t="s">
        <v>9</v>
      </c>
      <c r="P52" s="7" t="s">
        <v>9</v>
      </c>
    </row>
    <row r="53" spans="1:17">
      <c r="A53" s="2" t="s">
        <v>104</v>
      </c>
      <c r="B53" s="7" t="s">
        <v>9</v>
      </c>
      <c r="D53" s="7" t="s">
        <v>9</v>
      </c>
      <c r="F53" s="7" t="s">
        <v>9</v>
      </c>
      <c r="H53" s="7" t="s">
        <v>9</v>
      </c>
      <c r="J53" s="7" t="s">
        <v>9</v>
      </c>
      <c r="L53" s="7" t="s">
        <v>9</v>
      </c>
      <c r="N53" s="7" t="s">
        <v>9</v>
      </c>
      <c r="P53" s="7" t="s">
        <v>9</v>
      </c>
    </row>
    <row r="54" spans="1:17">
      <c r="A54" s="2" t="s">
        <v>105</v>
      </c>
      <c r="B54" s="7" t="s">
        <v>9</v>
      </c>
      <c r="D54" s="7" t="s">
        <v>9</v>
      </c>
      <c r="F54" s="7" t="s">
        <v>9</v>
      </c>
      <c r="H54" s="7" t="s">
        <v>9</v>
      </c>
      <c r="J54" s="7" t="s">
        <v>9</v>
      </c>
      <c r="L54" s="7" t="s">
        <v>9</v>
      </c>
      <c r="N54" s="7" t="s">
        <v>9</v>
      </c>
      <c r="P54" s="7" t="s">
        <v>9</v>
      </c>
    </row>
    <row r="55" spans="1:17" ht="60">
      <c r="A55" s="2" t="s">
        <v>106</v>
      </c>
      <c r="B55" s="7" t="s">
        <v>9</v>
      </c>
      <c r="D55" s="7" t="s">
        <v>236</v>
      </c>
      <c r="E55" s="1" t="s">
        <v>237</v>
      </c>
      <c r="F55" s="7" t="s">
        <v>9</v>
      </c>
      <c r="H55" s="7" t="s">
        <v>238</v>
      </c>
      <c r="I55" s="1" t="s">
        <v>237</v>
      </c>
      <c r="J55" s="7" t="s">
        <v>9</v>
      </c>
      <c r="L55" s="7" t="s">
        <v>239</v>
      </c>
      <c r="M55" s="1" t="s">
        <v>237</v>
      </c>
      <c r="N55" s="7" t="s">
        <v>240</v>
      </c>
      <c r="O55" s="1" t="s">
        <v>237</v>
      </c>
      <c r="P55" s="7" t="s">
        <v>9</v>
      </c>
    </row>
    <row r="56" spans="1:17" ht="60">
      <c r="A56" s="2" t="s">
        <v>107</v>
      </c>
      <c r="B56" s="7" t="s">
        <v>9</v>
      </c>
      <c r="D56" s="7" t="s">
        <v>241</v>
      </c>
      <c r="E56" s="1" t="s">
        <v>237</v>
      </c>
      <c r="F56" s="7" t="s">
        <v>9</v>
      </c>
      <c r="H56" s="7" t="s">
        <v>242</v>
      </c>
      <c r="I56" s="1" t="s">
        <v>237</v>
      </c>
      <c r="J56" s="7" t="s">
        <v>9</v>
      </c>
      <c r="L56" s="1" t="s">
        <v>243</v>
      </c>
      <c r="M56" s="1" t="s">
        <v>237</v>
      </c>
      <c r="N56" s="7" t="s">
        <v>244</v>
      </c>
      <c r="O56" s="1" t="s">
        <v>237</v>
      </c>
      <c r="P56" s="7" t="s">
        <v>9</v>
      </c>
    </row>
    <row r="57" spans="1:17" ht="60">
      <c r="A57" s="2" t="s">
        <v>108</v>
      </c>
      <c r="B57" s="7" t="s">
        <v>245</v>
      </c>
      <c r="C57" s="1" t="s">
        <v>246</v>
      </c>
      <c r="D57" s="7" t="s">
        <v>245</v>
      </c>
      <c r="E57" s="1" t="s">
        <v>246</v>
      </c>
      <c r="F57" s="7" t="s">
        <v>245</v>
      </c>
      <c r="G57" s="1" t="s">
        <v>246</v>
      </c>
      <c r="H57" s="7" t="s">
        <v>245</v>
      </c>
      <c r="I57" s="1" t="s">
        <v>246</v>
      </c>
      <c r="J57" s="7" t="s">
        <v>245</v>
      </c>
      <c r="K57" s="1" t="s">
        <v>246</v>
      </c>
      <c r="L57" s="7" t="s">
        <v>245</v>
      </c>
      <c r="M57" s="1" t="s">
        <v>246</v>
      </c>
      <c r="N57" s="7" t="s">
        <v>245</v>
      </c>
      <c r="O57" s="1" t="s">
        <v>246</v>
      </c>
      <c r="P57" s="7" t="s">
        <v>245</v>
      </c>
      <c r="Q57" s="1" t="s">
        <v>246</v>
      </c>
    </row>
    <row r="58" spans="1:17" ht="60">
      <c r="A58" s="2" t="s">
        <v>111</v>
      </c>
      <c r="B58" s="7" t="s">
        <v>9</v>
      </c>
      <c r="D58" s="7" t="s">
        <v>247</v>
      </c>
      <c r="E58" s="1" t="s">
        <v>237</v>
      </c>
      <c r="F58" s="7" t="s">
        <v>9</v>
      </c>
      <c r="H58" s="7" t="s">
        <v>248</v>
      </c>
      <c r="I58" s="1" t="s">
        <v>237</v>
      </c>
      <c r="J58" s="7" t="s">
        <v>9</v>
      </c>
      <c r="L58" s="7" t="s">
        <v>249</v>
      </c>
      <c r="M58" s="1" t="s">
        <v>237</v>
      </c>
      <c r="N58" s="7" t="s">
        <v>250</v>
      </c>
      <c r="O58" s="1" t="s">
        <v>237</v>
      </c>
      <c r="P58" s="7" t="s">
        <v>9</v>
      </c>
    </row>
    <row r="59" spans="1:17" ht="60">
      <c r="A59" s="2" t="s">
        <v>116</v>
      </c>
      <c r="B59" s="7" t="s">
        <v>245</v>
      </c>
      <c r="C59" s="1" t="s">
        <v>246</v>
      </c>
      <c r="D59" s="7" t="s">
        <v>245</v>
      </c>
      <c r="E59" s="1" t="s">
        <v>246</v>
      </c>
      <c r="F59" s="7" t="s">
        <v>245</v>
      </c>
      <c r="G59" s="1" t="s">
        <v>246</v>
      </c>
      <c r="H59" s="7" t="s">
        <v>245</v>
      </c>
      <c r="I59" s="1" t="s">
        <v>246</v>
      </c>
      <c r="J59" s="7" t="s">
        <v>245</v>
      </c>
      <c r="K59" s="1" t="s">
        <v>246</v>
      </c>
      <c r="L59" s="7" t="s">
        <v>245</v>
      </c>
      <c r="M59" s="1" t="s">
        <v>246</v>
      </c>
      <c r="N59" s="7" t="s">
        <v>245</v>
      </c>
      <c r="O59" s="1" t="s">
        <v>246</v>
      </c>
      <c r="P59" s="7" t="s">
        <v>245</v>
      </c>
      <c r="Q59" s="1" t="s">
        <v>246</v>
      </c>
    </row>
    <row r="60" spans="1:17" ht="89.25" customHeight="1">
      <c r="A60" s="2" t="s">
        <v>117</v>
      </c>
      <c r="B60" s="7" t="s">
        <v>251</v>
      </c>
      <c r="C60" s="1" t="s">
        <v>252</v>
      </c>
      <c r="D60" s="7" t="s">
        <v>251</v>
      </c>
      <c r="E60" s="1" t="s">
        <v>252</v>
      </c>
      <c r="F60" s="7" t="s">
        <v>251</v>
      </c>
      <c r="G60" s="1" t="s">
        <v>252</v>
      </c>
      <c r="H60" s="7" t="s">
        <v>253</v>
      </c>
      <c r="I60" s="1" t="s">
        <v>254</v>
      </c>
      <c r="J60" s="7" t="s">
        <v>253</v>
      </c>
      <c r="K60" s="1" t="s">
        <v>254</v>
      </c>
      <c r="L60" s="7" t="s">
        <v>255</v>
      </c>
      <c r="M60" s="1" t="s">
        <v>256</v>
      </c>
      <c r="N60" s="7" t="s">
        <v>257</v>
      </c>
      <c r="O60" s="1" t="s">
        <v>258</v>
      </c>
      <c r="P60" s="7" t="s">
        <v>9</v>
      </c>
    </row>
    <row r="61" spans="1:17" ht="30">
      <c r="A61" s="2" t="s">
        <v>118</v>
      </c>
      <c r="B61" s="7" t="s">
        <v>259</v>
      </c>
      <c r="C61" s="1" t="s">
        <v>260</v>
      </c>
      <c r="D61" s="7" t="s">
        <v>259</v>
      </c>
      <c r="E61" s="1" t="s">
        <v>260</v>
      </c>
      <c r="F61" s="7" t="s">
        <v>259</v>
      </c>
      <c r="G61" s="1" t="s">
        <v>260</v>
      </c>
      <c r="H61" s="7" t="s">
        <v>259</v>
      </c>
      <c r="I61" s="1" t="s">
        <v>260</v>
      </c>
      <c r="J61" s="7" t="s">
        <v>259</v>
      </c>
      <c r="K61" s="1" t="s">
        <v>260</v>
      </c>
      <c r="L61" s="7" t="s">
        <v>259</v>
      </c>
      <c r="M61" s="1" t="s">
        <v>260</v>
      </c>
      <c r="N61" s="7" t="s">
        <v>259</v>
      </c>
      <c r="O61" s="1" t="s">
        <v>260</v>
      </c>
      <c r="P61" s="7" t="s">
        <v>259</v>
      </c>
      <c r="Q61" s="1" t="s">
        <v>260</v>
      </c>
    </row>
    <row r="62" spans="1:17" ht="60">
      <c r="A62" s="2" t="s">
        <v>119</v>
      </c>
      <c r="B62" s="7">
        <v>1.9</v>
      </c>
      <c r="C62" s="1" t="s">
        <v>261</v>
      </c>
      <c r="D62" s="7">
        <v>2.8</v>
      </c>
      <c r="E62" s="1" t="s">
        <v>222</v>
      </c>
      <c r="F62" s="7" t="s">
        <v>9</v>
      </c>
      <c r="H62" s="7" t="s">
        <v>9</v>
      </c>
      <c r="J62" s="7" t="s">
        <v>9</v>
      </c>
      <c r="L62" s="7" t="s">
        <v>9</v>
      </c>
      <c r="N62" s="7">
        <v>6.9</v>
      </c>
      <c r="O62" s="1" t="s">
        <v>222</v>
      </c>
      <c r="P62" s="7">
        <v>6.9</v>
      </c>
      <c r="Q62" s="1" t="s">
        <v>261</v>
      </c>
    </row>
    <row r="63" spans="1:17" ht="45">
      <c r="A63" s="2" t="s">
        <v>120</v>
      </c>
      <c r="B63" s="7" t="s">
        <v>262</v>
      </c>
      <c r="C63" s="1" t="s">
        <v>263</v>
      </c>
      <c r="D63" s="7" t="s">
        <v>262</v>
      </c>
      <c r="E63" s="1" t="s">
        <v>263</v>
      </c>
      <c r="F63" s="7" t="s">
        <v>262</v>
      </c>
      <c r="G63" s="1" t="s">
        <v>263</v>
      </c>
      <c r="H63" s="7" t="s">
        <v>262</v>
      </c>
      <c r="I63" s="1" t="s">
        <v>263</v>
      </c>
      <c r="J63" s="7" t="s">
        <v>262</v>
      </c>
      <c r="K63" s="1" t="s">
        <v>263</v>
      </c>
      <c r="L63" s="7" t="s">
        <v>262</v>
      </c>
      <c r="M63" s="1" t="s">
        <v>263</v>
      </c>
      <c r="N63" s="7" t="s">
        <v>262</v>
      </c>
      <c r="O63" s="1" t="s">
        <v>263</v>
      </c>
      <c r="P63" s="7" t="s">
        <v>262</v>
      </c>
      <c r="Q63" s="1" t="s">
        <v>263</v>
      </c>
    </row>
    <row r="64" spans="1:17">
      <c r="A64" s="2" t="s">
        <v>121</v>
      </c>
      <c r="B64" s="7" t="s">
        <v>9</v>
      </c>
      <c r="D64" s="7" t="s">
        <v>9</v>
      </c>
      <c r="F64" s="7" t="s">
        <v>9</v>
      </c>
      <c r="H64" s="7" t="s">
        <v>9</v>
      </c>
      <c r="J64" s="7" t="s">
        <v>9</v>
      </c>
      <c r="L64" s="7" t="s">
        <v>9</v>
      </c>
      <c r="N64" s="7" t="s">
        <v>9</v>
      </c>
      <c r="P64" s="7" t="s">
        <v>9</v>
      </c>
    </row>
    <row r="65" spans="1:16">
      <c r="A65" s="2" t="s">
        <v>122</v>
      </c>
      <c r="B65" s="7" t="s">
        <v>9</v>
      </c>
      <c r="D65" s="7" t="s">
        <v>9</v>
      </c>
      <c r="F65" s="7" t="s">
        <v>9</v>
      </c>
      <c r="H65" s="7" t="s">
        <v>9</v>
      </c>
      <c r="J65" s="7" t="s">
        <v>9</v>
      </c>
      <c r="L65" s="7" t="s">
        <v>9</v>
      </c>
      <c r="N65" s="7" t="s">
        <v>9</v>
      </c>
      <c r="P65" s="7" t="s">
        <v>9</v>
      </c>
    </row>
    <row r="66" spans="1:16">
      <c r="A66" s="4" t="s">
        <v>123</v>
      </c>
      <c r="B66" s="7" t="s">
        <v>9</v>
      </c>
      <c r="D66" s="7" t="s">
        <v>9</v>
      </c>
      <c r="F66" s="7" t="s">
        <v>9</v>
      </c>
      <c r="H66" s="7" t="s">
        <v>9</v>
      </c>
      <c r="J66" s="7" t="s">
        <v>9</v>
      </c>
      <c r="L66" s="7" t="s">
        <v>9</v>
      </c>
      <c r="N66" s="7" t="s">
        <v>9</v>
      </c>
      <c r="P66" s="7" t="s">
        <v>9</v>
      </c>
    </row>
    <row r="67" spans="1:16">
      <c r="A67" s="4" t="s">
        <v>125</v>
      </c>
      <c r="B67" s="7" t="s">
        <v>9</v>
      </c>
      <c r="D67" s="7" t="s">
        <v>9</v>
      </c>
      <c r="F67" s="7" t="s">
        <v>9</v>
      </c>
      <c r="H67" s="7" t="s">
        <v>9</v>
      </c>
      <c r="J67" s="7" t="s">
        <v>9</v>
      </c>
      <c r="L67" s="7" t="s">
        <v>9</v>
      </c>
      <c r="N67" s="7" t="s">
        <v>9</v>
      </c>
      <c r="P67" s="7" t="s">
        <v>9</v>
      </c>
    </row>
    <row r="68" spans="1:16">
      <c r="A68" s="4" t="s">
        <v>126</v>
      </c>
      <c r="B68" s="7" t="s">
        <v>9</v>
      </c>
      <c r="D68" s="7" t="s">
        <v>9</v>
      </c>
      <c r="F68" s="7" t="s">
        <v>9</v>
      </c>
      <c r="H68" s="7" t="s">
        <v>9</v>
      </c>
      <c r="J68" s="7" t="s">
        <v>9</v>
      </c>
      <c r="L68" s="7" t="s">
        <v>9</v>
      </c>
      <c r="N68" s="7" t="s">
        <v>9</v>
      </c>
      <c r="P68" s="7" t="s">
        <v>9</v>
      </c>
    </row>
    <row r="69" spans="1:16">
      <c r="A69" s="4" t="s">
        <v>127</v>
      </c>
      <c r="B69" s="7" t="s">
        <v>9</v>
      </c>
      <c r="D69" s="7" t="s">
        <v>9</v>
      </c>
      <c r="F69" s="7" t="s">
        <v>9</v>
      </c>
      <c r="H69" s="7" t="s">
        <v>9</v>
      </c>
      <c r="J69" s="7" t="s">
        <v>9</v>
      </c>
      <c r="L69" s="7" t="s">
        <v>9</v>
      </c>
      <c r="N69" s="7" t="s">
        <v>9</v>
      </c>
      <c r="P69" s="7" t="s">
        <v>9</v>
      </c>
    </row>
    <row r="70" spans="1:16">
      <c r="A70" s="4" t="s">
        <v>128</v>
      </c>
      <c r="B70" s="7" t="s">
        <v>9</v>
      </c>
      <c r="D70" s="7" t="s">
        <v>9</v>
      </c>
      <c r="F70" s="7" t="s">
        <v>9</v>
      </c>
      <c r="H70" s="7" t="s">
        <v>9</v>
      </c>
      <c r="J70" s="7" t="s">
        <v>9</v>
      </c>
      <c r="L70" s="7" t="s">
        <v>9</v>
      </c>
      <c r="N70" s="7" t="s">
        <v>9</v>
      </c>
      <c r="P70" s="7" t="s">
        <v>9</v>
      </c>
    </row>
    <row r="71" spans="1:16">
      <c r="A71" s="4" t="s">
        <v>133</v>
      </c>
      <c r="B71" s="7" t="s">
        <v>9</v>
      </c>
      <c r="D71" s="7" t="s">
        <v>9</v>
      </c>
      <c r="F71" s="7" t="s">
        <v>9</v>
      </c>
      <c r="H71" s="7" t="s">
        <v>9</v>
      </c>
      <c r="J71" s="7" t="s">
        <v>9</v>
      </c>
      <c r="L71" s="7" t="s">
        <v>9</v>
      </c>
      <c r="N71" s="7" t="s">
        <v>9</v>
      </c>
      <c r="P71" s="7" t="s">
        <v>9</v>
      </c>
    </row>
    <row r="72" spans="1:16">
      <c r="A72" s="4" t="s">
        <v>135</v>
      </c>
      <c r="B72" s="7" t="s">
        <v>9</v>
      </c>
      <c r="D72" s="7" t="s">
        <v>9</v>
      </c>
      <c r="F72" s="7" t="s">
        <v>9</v>
      </c>
      <c r="H72" s="7" t="s">
        <v>9</v>
      </c>
      <c r="J72" s="7" t="s">
        <v>9</v>
      </c>
      <c r="L72" s="7" t="s">
        <v>9</v>
      </c>
      <c r="N72" s="7" t="s">
        <v>9</v>
      </c>
      <c r="P72" s="7" t="s">
        <v>9</v>
      </c>
    </row>
    <row r="73" spans="1:16">
      <c r="A73" s="4" t="s">
        <v>136</v>
      </c>
      <c r="B73" s="7" t="s">
        <v>9</v>
      </c>
      <c r="D73" s="7" t="s">
        <v>9</v>
      </c>
      <c r="F73" s="7" t="s">
        <v>9</v>
      </c>
      <c r="H73" s="7" t="s">
        <v>9</v>
      </c>
      <c r="J73" s="7" t="s">
        <v>9</v>
      </c>
      <c r="L73" s="7" t="s">
        <v>9</v>
      </c>
      <c r="N73" s="7" t="s">
        <v>9</v>
      </c>
      <c r="P73" s="7" t="s">
        <v>9</v>
      </c>
    </row>
    <row r="74" spans="1:16">
      <c r="A74" s="4" t="s">
        <v>137</v>
      </c>
      <c r="B74" s="7" t="s">
        <v>9</v>
      </c>
      <c r="D74" s="7" t="s">
        <v>9</v>
      </c>
      <c r="F74" s="7" t="s">
        <v>9</v>
      </c>
      <c r="H74" s="7" t="s">
        <v>9</v>
      </c>
      <c r="J74" s="7" t="s">
        <v>9</v>
      </c>
      <c r="L74" s="7" t="s">
        <v>9</v>
      </c>
      <c r="N74" s="7" t="s">
        <v>9</v>
      </c>
      <c r="P74" s="7" t="s">
        <v>9</v>
      </c>
    </row>
    <row r="75" spans="1:16">
      <c r="A75" s="4" t="s">
        <v>138</v>
      </c>
      <c r="B75" s="7" t="s">
        <v>9</v>
      </c>
      <c r="D75" s="7" t="s">
        <v>9</v>
      </c>
      <c r="F75" s="7" t="s">
        <v>9</v>
      </c>
      <c r="H75" s="7" t="s">
        <v>9</v>
      </c>
      <c r="J75" s="7" t="s">
        <v>9</v>
      </c>
      <c r="L75" s="7" t="s">
        <v>9</v>
      </c>
      <c r="N75" s="7" t="s">
        <v>9</v>
      </c>
      <c r="P75" s="7" t="s">
        <v>9</v>
      </c>
    </row>
    <row r="76" spans="1:16">
      <c r="A76" s="2" t="s">
        <v>142</v>
      </c>
      <c r="B76" s="7" t="s">
        <v>9</v>
      </c>
      <c r="D76" s="7" t="s">
        <v>9</v>
      </c>
      <c r="F76" s="7" t="s">
        <v>9</v>
      </c>
      <c r="H76" s="7" t="s">
        <v>9</v>
      </c>
      <c r="J76" s="7" t="s">
        <v>9</v>
      </c>
      <c r="L76" s="7" t="s">
        <v>9</v>
      </c>
      <c r="N76" s="7" t="s">
        <v>9</v>
      </c>
      <c r="P76" s="7" t="s">
        <v>9</v>
      </c>
    </row>
    <row r="77" spans="1:16">
      <c r="A77" s="2" t="s">
        <v>143</v>
      </c>
      <c r="B77" s="7" t="s">
        <v>9</v>
      </c>
      <c r="D77" s="7" t="s">
        <v>9</v>
      </c>
      <c r="F77" s="7" t="s">
        <v>9</v>
      </c>
      <c r="H77" s="7" t="s">
        <v>9</v>
      </c>
      <c r="J77" s="7" t="s">
        <v>9</v>
      </c>
      <c r="L77" s="7" t="s">
        <v>9</v>
      </c>
      <c r="N77" s="7" t="s">
        <v>9</v>
      </c>
      <c r="P77" s="7" t="s">
        <v>9</v>
      </c>
    </row>
    <row r="78" spans="1:16">
      <c r="A78" s="2" t="s">
        <v>144</v>
      </c>
      <c r="B78" s="7" t="s">
        <v>9</v>
      </c>
      <c r="D78" s="7" t="s">
        <v>9</v>
      </c>
      <c r="F78" s="7" t="s">
        <v>9</v>
      </c>
      <c r="H78" s="7" t="s">
        <v>9</v>
      </c>
      <c r="J78" s="7" t="s">
        <v>9</v>
      </c>
      <c r="L78" s="7" t="s">
        <v>9</v>
      </c>
      <c r="N78" s="7" t="s">
        <v>9</v>
      </c>
      <c r="P78" s="7" t="s">
        <v>9</v>
      </c>
    </row>
  </sheetData>
  <mergeCells count="40">
    <mergeCell ref="Q30:Q31"/>
    <mergeCell ref="Q3:Q4"/>
    <mergeCell ref="Q5:Q6"/>
    <mergeCell ref="Q32:Q35"/>
    <mergeCell ref="Q11:Q12"/>
    <mergeCell ref="C3:C4"/>
    <mergeCell ref="C5:C6"/>
    <mergeCell ref="C11:C12"/>
    <mergeCell ref="C30:C31"/>
    <mergeCell ref="C32:C35"/>
    <mergeCell ref="E3:E4"/>
    <mergeCell ref="E5:E6"/>
    <mergeCell ref="E11:E12"/>
    <mergeCell ref="E30:E31"/>
    <mergeCell ref="E32:E35"/>
    <mergeCell ref="G3:G4"/>
    <mergeCell ref="G5:G6"/>
    <mergeCell ref="G11:G12"/>
    <mergeCell ref="G30:G31"/>
    <mergeCell ref="G32:G35"/>
    <mergeCell ref="I3:I4"/>
    <mergeCell ref="I5:I6"/>
    <mergeCell ref="I11:I12"/>
    <mergeCell ref="I30:I31"/>
    <mergeCell ref="I32:I35"/>
    <mergeCell ref="K3:K4"/>
    <mergeCell ref="K5:K6"/>
    <mergeCell ref="K11:K12"/>
    <mergeCell ref="K30:K31"/>
    <mergeCell ref="K32:K35"/>
    <mergeCell ref="M3:M4"/>
    <mergeCell ref="M5:M6"/>
    <mergeCell ref="M11:M12"/>
    <mergeCell ref="M30:M31"/>
    <mergeCell ref="M32:M35"/>
    <mergeCell ref="O3:O4"/>
    <mergeCell ref="O5:O6"/>
    <mergeCell ref="O11:O12"/>
    <mergeCell ref="O30:O31"/>
    <mergeCell ref="O32:O35"/>
  </mergeCells>
  <phoneticPr fontId="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1402E-5E16-4C4D-BEBA-EDD3CF8E57D2}">
  <dimension ref="A1:J78"/>
  <sheetViews>
    <sheetView zoomScaleNormal="100" workbookViewId="0">
      <selection activeCell="G18" sqref="G18"/>
    </sheetView>
  </sheetViews>
  <sheetFormatPr defaultRowHeight="15"/>
  <cols>
    <col min="1" max="10" width="55.85546875" style="1" customWidth="1"/>
    <col min="11" max="16384" width="9.140625" style="1"/>
  </cols>
  <sheetData>
    <row r="1" spans="1:10">
      <c r="A1" s="2" t="s">
        <v>0</v>
      </c>
      <c r="B1" s="6" t="s">
        <v>196</v>
      </c>
      <c r="C1" s="6" t="s">
        <v>197</v>
      </c>
      <c r="D1" s="6" t="s">
        <v>197</v>
      </c>
      <c r="E1" s="6" t="s">
        <v>198</v>
      </c>
      <c r="F1" s="6" t="s">
        <v>199</v>
      </c>
      <c r="G1" s="6" t="s">
        <v>200</v>
      </c>
      <c r="H1" s="6" t="s">
        <v>201</v>
      </c>
      <c r="I1" s="6" t="s">
        <v>202</v>
      </c>
      <c r="J1" s="6" t="s">
        <v>203</v>
      </c>
    </row>
    <row r="2" spans="1:10">
      <c r="A2" s="2" t="s">
        <v>5</v>
      </c>
      <c r="B2" s="7" t="s">
        <v>61</v>
      </c>
      <c r="C2" s="7" t="s">
        <v>61</v>
      </c>
      <c r="D2" s="7" t="s">
        <v>61</v>
      </c>
      <c r="E2" s="7" t="s">
        <v>61</v>
      </c>
      <c r="F2" s="7" t="s">
        <v>61</v>
      </c>
      <c r="G2" s="7" t="s">
        <v>61</v>
      </c>
      <c r="H2" s="7" t="s">
        <v>61</v>
      </c>
      <c r="I2" s="7" t="s">
        <v>61</v>
      </c>
      <c r="J2" s="7" t="s">
        <v>61</v>
      </c>
    </row>
    <row r="3" spans="1:10">
      <c r="A3" s="2" t="s">
        <v>8</v>
      </c>
      <c r="B3" s="7" t="s">
        <v>205</v>
      </c>
      <c r="C3" s="7" t="s">
        <v>205</v>
      </c>
      <c r="D3" s="7" t="s">
        <v>205</v>
      </c>
      <c r="E3" s="7" t="s">
        <v>205</v>
      </c>
      <c r="F3" s="7" t="s">
        <v>205</v>
      </c>
      <c r="G3" s="7" t="s">
        <v>205</v>
      </c>
      <c r="H3" s="7" t="s">
        <v>205</v>
      </c>
      <c r="I3" s="7" t="s">
        <v>205</v>
      </c>
      <c r="J3" s="7" t="s">
        <v>205</v>
      </c>
    </row>
    <row r="4" spans="1:10">
      <c r="A4" s="2" t="s">
        <v>10</v>
      </c>
      <c r="B4" s="7" t="s">
        <v>205</v>
      </c>
      <c r="C4" s="7" t="s">
        <v>205</v>
      </c>
      <c r="D4" s="7" t="s">
        <v>205</v>
      </c>
      <c r="E4" s="7" t="s">
        <v>205</v>
      </c>
      <c r="F4" s="7" t="s">
        <v>205</v>
      </c>
      <c r="G4" s="7" t="s">
        <v>205</v>
      </c>
      <c r="H4" s="7" t="s">
        <v>205</v>
      </c>
      <c r="I4" s="7" t="s">
        <v>205</v>
      </c>
      <c r="J4" s="7" t="s">
        <v>205</v>
      </c>
    </row>
    <row r="5" spans="1:10">
      <c r="A5" s="2" t="s">
        <v>11</v>
      </c>
      <c r="B5" s="7" t="s">
        <v>207</v>
      </c>
      <c r="C5" s="7" t="s">
        <v>207</v>
      </c>
      <c r="D5" s="7" t="s">
        <v>207</v>
      </c>
      <c r="E5" s="7" t="s">
        <v>207</v>
      </c>
      <c r="F5" s="7" t="s">
        <v>207</v>
      </c>
      <c r="G5" s="7" t="s">
        <v>207</v>
      </c>
      <c r="H5" s="7" t="s">
        <v>207</v>
      </c>
      <c r="I5" s="7" t="s">
        <v>207</v>
      </c>
      <c r="J5" s="7" t="s">
        <v>207</v>
      </c>
    </row>
    <row r="6" spans="1:10">
      <c r="A6" s="2" t="s">
        <v>12</v>
      </c>
      <c r="B6" s="7" t="s">
        <v>209</v>
      </c>
      <c r="C6" s="7" t="s">
        <v>209</v>
      </c>
      <c r="D6" s="7" t="s">
        <v>209</v>
      </c>
      <c r="E6" s="7" t="s">
        <v>209</v>
      </c>
      <c r="F6" s="7" t="s">
        <v>209</v>
      </c>
      <c r="G6" s="7" t="s">
        <v>209</v>
      </c>
      <c r="H6" s="7" t="s">
        <v>209</v>
      </c>
      <c r="I6" s="7" t="s">
        <v>209</v>
      </c>
      <c r="J6" s="7" t="s">
        <v>209</v>
      </c>
    </row>
    <row r="7" spans="1:10" ht="30">
      <c r="A7" s="2" t="s">
        <v>13</v>
      </c>
      <c r="B7" s="7" t="s">
        <v>210</v>
      </c>
      <c r="C7" s="7" t="s">
        <v>210</v>
      </c>
      <c r="D7" s="7" t="s">
        <v>210</v>
      </c>
      <c r="E7" s="7" t="s">
        <v>210</v>
      </c>
      <c r="F7" s="7" t="s">
        <v>210</v>
      </c>
      <c r="G7" s="7" t="s">
        <v>210</v>
      </c>
      <c r="H7" s="7" t="s">
        <v>210</v>
      </c>
      <c r="I7" s="7" t="s">
        <v>210</v>
      </c>
      <c r="J7" s="7" t="s">
        <v>210</v>
      </c>
    </row>
    <row r="8" spans="1:10">
      <c r="A8" s="2" t="s">
        <v>14</v>
      </c>
      <c r="B8" s="7" t="s">
        <v>211</v>
      </c>
      <c r="C8" s="7" t="s">
        <v>211</v>
      </c>
      <c r="D8" s="7" t="s">
        <v>211</v>
      </c>
      <c r="E8" s="7" t="s">
        <v>211</v>
      </c>
      <c r="F8" s="7" t="s">
        <v>211</v>
      </c>
      <c r="G8" s="7" t="s">
        <v>211</v>
      </c>
      <c r="H8" s="7" t="s">
        <v>211</v>
      </c>
      <c r="I8" s="7" t="s">
        <v>211</v>
      </c>
      <c r="J8" s="7" t="s">
        <v>211</v>
      </c>
    </row>
    <row r="9" spans="1:10" ht="45.75" customHeight="1">
      <c r="A9" s="2" t="s">
        <v>17</v>
      </c>
      <c r="B9" s="7">
        <v>23</v>
      </c>
      <c r="C9" s="7">
        <v>40</v>
      </c>
      <c r="D9" s="7">
        <v>50</v>
      </c>
      <c r="E9" s="7">
        <v>60</v>
      </c>
      <c r="F9" s="7">
        <v>70</v>
      </c>
      <c r="G9" s="7">
        <v>80</v>
      </c>
      <c r="H9" s="7">
        <v>90</v>
      </c>
      <c r="I9" s="7">
        <v>120</v>
      </c>
      <c r="J9" s="7">
        <v>140</v>
      </c>
    </row>
    <row r="10" spans="1:10">
      <c r="A10" s="2" t="s">
        <v>19</v>
      </c>
      <c r="B10" s="7" t="s">
        <v>20</v>
      </c>
      <c r="C10" s="7" t="s">
        <v>20</v>
      </c>
      <c r="D10" s="7" t="s">
        <v>20</v>
      </c>
      <c r="E10" s="7" t="s">
        <v>20</v>
      </c>
      <c r="F10" s="7" t="s">
        <v>20</v>
      </c>
      <c r="G10" s="7" t="s">
        <v>20</v>
      </c>
      <c r="H10" s="7" t="s">
        <v>20</v>
      </c>
      <c r="I10" s="7" t="s">
        <v>20</v>
      </c>
      <c r="J10" s="7" t="s">
        <v>20</v>
      </c>
    </row>
    <row r="11" spans="1:10">
      <c r="A11" s="4" t="s">
        <v>21</v>
      </c>
      <c r="B11" s="7">
        <v>300</v>
      </c>
      <c r="C11" s="7">
        <v>300</v>
      </c>
      <c r="D11" s="7">
        <v>300</v>
      </c>
      <c r="E11" s="7">
        <v>300</v>
      </c>
      <c r="F11" s="7">
        <v>300</v>
      </c>
      <c r="G11" s="7">
        <v>300</v>
      </c>
      <c r="H11" s="7">
        <v>300</v>
      </c>
      <c r="I11" s="7">
        <v>300</v>
      </c>
      <c r="J11" s="7">
        <v>300</v>
      </c>
    </row>
    <row r="12" spans="1:10">
      <c r="A12" s="2" t="s">
        <v>22</v>
      </c>
      <c r="B12" s="7" t="s">
        <v>215</v>
      </c>
      <c r="C12" s="7" t="s">
        <v>215</v>
      </c>
      <c r="D12" s="7" t="s">
        <v>215</v>
      </c>
      <c r="E12" s="7" t="s">
        <v>215</v>
      </c>
      <c r="F12" s="7" t="s">
        <v>215</v>
      </c>
      <c r="G12" s="7" t="s">
        <v>215</v>
      </c>
      <c r="H12" s="7" t="s">
        <v>215</v>
      </c>
      <c r="I12" s="7" t="s">
        <v>215</v>
      </c>
      <c r="J12" s="7" t="s">
        <v>215</v>
      </c>
    </row>
    <row r="13" spans="1:10">
      <c r="A13" s="2" t="s">
        <v>23</v>
      </c>
      <c r="B13" s="7" t="s">
        <v>9</v>
      </c>
      <c r="C13" s="7" t="s">
        <v>9</v>
      </c>
      <c r="D13" s="7" t="s">
        <v>9</v>
      </c>
      <c r="E13" s="7" t="s">
        <v>9</v>
      </c>
      <c r="F13" s="7" t="s">
        <v>9</v>
      </c>
      <c r="G13" s="7" t="s">
        <v>9</v>
      </c>
      <c r="H13" s="7" t="s">
        <v>9</v>
      </c>
      <c r="I13" s="7" t="s">
        <v>9</v>
      </c>
      <c r="J13" s="7" t="s">
        <v>9</v>
      </c>
    </row>
    <row r="14" spans="1:10">
      <c r="A14" s="2" t="s">
        <v>24</v>
      </c>
      <c r="B14" s="7" t="s">
        <v>9</v>
      </c>
      <c r="C14" s="7" t="s">
        <v>9</v>
      </c>
      <c r="D14" s="7" t="s">
        <v>9</v>
      </c>
      <c r="E14" s="7" t="s">
        <v>9</v>
      </c>
      <c r="F14" s="7" t="s">
        <v>9</v>
      </c>
      <c r="G14" s="7" t="s">
        <v>9</v>
      </c>
      <c r="H14" s="7" t="s">
        <v>9</v>
      </c>
      <c r="I14" s="7" t="s">
        <v>9</v>
      </c>
      <c r="J14" s="7" t="s">
        <v>9</v>
      </c>
    </row>
    <row r="15" spans="1:10">
      <c r="A15" s="2" t="s">
        <v>25</v>
      </c>
      <c r="B15" s="7" t="b">
        <v>1</v>
      </c>
      <c r="C15" s="7" t="b">
        <v>1</v>
      </c>
      <c r="D15" s="7" t="b">
        <v>1</v>
      </c>
      <c r="E15" s="7" t="b">
        <v>1</v>
      </c>
      <c r="F15" s="7" t="b">
        <v>1</v>
      </c>
      <c r="G15" s="7" t="b">
        <v>1</v>
      </c>
      <c r="H15" s="7" t="b">
        <v>1</v>
      </c>
      <c r="I15" s="7" t="b">
        <v>1</v>
      </c>
      <c r="J15" s="7" t="b">
        <v>1</v>
      </c>
    </row>
    <row r="16" spans="1:10">
      <c r="A16" s="4" t="s">
        <v>216</v>
      </c>
      <c r="B16" s="7" t="s">
        <v>217</v>
      </c>
      <c r="C16" s="7" t="s">
        <v>217</v>
      </c>
      <c r="D16" s="7" t="s">
        <v>217</v>
      </c>
      <c r="E16" s="7" t="s">
        <v>217</v>
      </c>
      <c r="F16" s="7" t="s">
        <v>217</v>
      </c>
      <c r="G16" s="7" t="s">
        <v>217</v>
      </c>
      <c r="H16" s="7" t="s">
        <v>217</v>
      </c>
      <c r="I16" s="7" t="s">
        <v>217</v>
      </c>
      <c r="J16" s="7" t="s">
        <v>217</v>
      </c>
    </row>
    <row r="17" spans="1:10">
      <c r="A17" s="4" t="s">
        <v>219</v>
      </c>
      <c r="B17" s="7" t="s">
        <v>9</v>
      </c>
      <c r="C17" s="7" t="s">
        <v>9</v>
      </c>
      <c r="D17" s="7" t="s">
        <v>9</v>
      </c>
      <c r="E17" s="7" t="s">
        <v>9</v>
      </c>
      <c r="F17" s="7" t="s">
        <v>9</v>
      </c>
      <c r="G17" s="7" t="s">
        <v>9</v>
      </c>
      <c r="H17" s="7" t="s">
        <v>9</v>
      </c>
      <c r="I17" s="7" t="s">
        <v>9</v>
      </c>
      <c r="J17" s="7" t="s">
        <v>9</v>
      </c>
    </row>
    <row r="18" spans="1:10">
      <c r="A18" s="4" t="s">
        <v>220</v>
      </c>
      <c r="B18" s="7" t="s">
        <v>217</v>
      </c>
      <c r="C18" s="7" t="s">
        <v>217</v>
      </c>
      <c r="D18" s="7" t="s">
        <v>217</v>
      </c>
      <c r="E18" s="7" t="s">
        <v>217</v>
      </c>
      <c r="F18" s="7" t="s">
        <v>217</v>
      </c>
      <c r="G18" s="7" t="s">
        <v>217</v>
      </c>
      <c r="H18" s="7" t="s">
        <v>217</v>
      </c>
      <c r="I18" s="7" t="s">
        <v>217</v>
      </c>
      <c r="J18" s="7" t="s">
        <v>217</v>
      </c>
    </row>
    <row r="19" spans="1:10">
      <c r="A19" s="4" t="s">
        <v>221</v>
      </c>
      <c r="B19" s="7" t="s">
        <v>9</v>
      </c>
      <c r="C19" s="7" t="s">
        <v>9</v>
      </c>
      <c r="D19" s="7" t="s">
        <v>9</v>
      </c>
      <c r="E19" s="7" t="s">
        <v>9</v>
      </c>
      <c r="F19" s="7" t="s">
        <v>9</v>
      </c>
      <c r="G19" s="7" t="s">
        <v>9</v>
      </c>
      <c r="H19" s="7" t="s">
        <v>9</v>
      </c>
      <c r="I19" s="7" t="s">
        <v>9</v>
      </c>
      <c r="J19" s="7" t="s">
        <v>9</v>
      </c>
    </row>
    <row r="20" spans="1:10">
      <c r="A20" s="2" t="s">
        <v>27</v>
      </c>
      <c r="B20" s="7" t="s">
        <v>9</v>
      </c>
      <c r="C20" s="7" t="s">
        <v>9</v>
      </c>
      <c r="D20" s="7" t="s">
        <v>9</v>
      </c>
      <c r="E20" s="7" t="s">
        <v>9</v>
      </c>
      <c r="F20" s="7" t="s">
        <v>9</v>
      </c>
      <c r="G20" s="7" t="s">
        <v>9</v>
      </c>
      <c r="H20" s="7" t="s">
        <v>9</v>
      </c>
      <c r="I20" s="7" t="s">
        <v>9</v>
      </c>
      <c r="J20" s="7" t="s">
        <v>9</v>
      </c>
    </row>
    <row r="21" spans="1:10">
      <c r="A21" s="2" t="s">
        <v>28</v>
      </c>
      <c r="B21" s="7" t="s">
        <v>9</v>
      </c>
      <c r="C21" s="7">
        <v>820</v>
      </c>
      <c r="D21" s="7" t="s">
        <v>9</v>
      </c>
      <c r="E21" s="7" t="s">
        <v>9</v>
      </c>
      <c r="F21" s="7">
        <f t="shared" ref="F21:G21" si="0">F39*F24</f>
        <v>960</v>
      </c>
      <c r="G21" s="7">
        <f t="shared" si="0"/>
        <v>1170</v>
      </c>
      <c r="H21" s="7" t="s">
        <v>9</v>
      </c>
      <c r="I21" s="7">
        <v>1390</v>
      </c>
      <c r="J21" s="7" t="s">
        <v>9</v>
      </c>
    </row>
    <row r="22" spans="1:10">
      <c r="A22" s="2" t="s">
        <v>30</v>
      </c>
      <c r="B22" s="7" t="s">
        <v>9</v>
      </c>
      <c r="C22" s="7" t="s">
        <v>224</v>
      </c>
      <c r="D22" s="7" t="s">
        <v>9</v>
      </c>
      <c r="E22" s="7" t="s">
        <v>9</v>
      </c>
      <c r="F22" s="7" t="s">
        <v>224</v>
      </c>
      <c r="G22" s="7" t="s">
        <v>224</v>
      </c>
      <c r="H22" s="7" t="s">
        <v>9</v>
      </c>
      <c r="I22" s="7" t="s">
        <v>224</v>
      </c>
      <c r="J22" s="7" t="s">
        <v>9</v>
      </c>
    </row>
    <row r="23" spans="1:10" ht="30">
      <c r="A23" s="2" t="s">
        <v>225</v>
      </c>
      <c r="B23" s="7" t="s">
        <v>226</v>
      </c>
      <c r="C23" s="7" t="s">
        <v>226</v>
      </c>
      <c r="D23" s="7" t="s">
        <v>226</v>
      </c>
      <c r="E23" s="7" t="s">
        <v>226</v>
      </c>
      <c r="F23" s="7" t="s">
        <v>226</v>
      </c>
      <c r="G23" s="7" t="s">
        <v>226</v>
      </c>
      <c r="H23" s="7" t="s">
        <v>226</v>
      </c>
      <c r="I23" s="7" t="s">
        <v>226</v>
      </c>
      <c r="J23" s="7" t="s">
        <v>226</v>
      </c>
    </row>
    <row r="24" spans="1:10">
      <c r="A24" s="2" t="s">
        <v>32</v>
      </c>
      <c r="B24" s="7">
        <v>600</v>
      </c>
      <c r="C24" s="7">
        <v>600</v>
      </c>
      <c r="D24" s="7">
        <v>600</v>
      </c>
      <c r="E24" s="7">
        <v>600</v>
      </c>
      <c r="F24" s="7">
        <v>600</v>
      </c>
      <c r="G24" s="7">
        <v>600</v>
      </c>
      <c r="H24" s="7">
        <v>600</v>
      </c>
      <c r="I24" s="7">
        <v>600</v>
      </c>
      <c r="J24" s="7">
        <v>600</v>
      </c>
    </row>
    <row r="25" spans="1:10">
      <c r="A25" s="2" t="s">
        <v>33</v>
      </c>
      <c r="B25" s="7" t="s">
        <v>9</v>
      </c>
      <c r="C25" s="7" t="s">
        <v>9</v>
      </c>
      <c r="D25" s="7" t="s">
        <v>9</v>
      </c>
      <c r="E25" s="7" t="s">
        <v>9</v>
      </c>
      <c r="F25" s="7" t="s">
        <v>9</v>
      </c>
      <c r="G25" s="7" t="s">
        <v>9</v>
      </c>
      <c r="H25" s="7" t="s">
        <v>9</v>
      </c>
      <c r="I25" s="7" t="s">
        <v>9</v>
      </c>
      <c r="J25" s="7" t="s">
        <v>9</v>
      </c>
    </row>
    <row r="26" spans="1:10">
      <c r="A26" s="4" t="s">
        <v>228</v>
      </c>
      <c r="B26" s="7">
        <v>0.7</v>
      </c>
      <c r="C26" s="8">
        <f>C21/C24</f>
        <v>1.3666666666666667</v>
      </c>
      <c r="D26" s="8">
        <v>1.45</v>
      </c>
      <c r="E26" s="7">
        <v>1.55</v>
      </c>
      <c r="F26" s="7">
        <v>1.5</v>
      </c>
      <c r="G26" s="7">
        <v>1.9</v>
      </c>
      <c r="H26" s="7">
        <v>2</v>
      </c>
      <c r="I26" s="7">
        <v>2.2999999999999998</v>
      </c>
      <c r="J26" s="7">
        <v>2.2000000000000002</v>
      </c>
    </row>
    <row r="27" spans="1:10">
      <c r="A27" s="2" t="s">
        <v>35</v>
      </c>
      <c r="B27" s="7" t="s">
        <v>9</v>
      </c>
      <c r="C27" s="7" t="s">
        <v>9</v>
      </c>
      <c r="D27" s="7" t="s">
        <v>9</v>
      </c>
      <c r="E27" s="7" t="s">
        <v>9</v>
      </c>
      <c r="F27" s="7" t="s">
        <v>9</v>
      </c>
      <c r="G27" s="7" t="s">
        <v>9</v>
      </c>
      <c r="H27" s="7" t="s">
        <v>9</v>
      </c>
      <c r="I27" s="7" t="s">
        <v>9</v>
      </c>
      <c r="J27" s="7" t="s">
        <v>9</v>
      </c>
    </row>
    <row r="28" spans="1:10">
      <c r="A28" s="2" t="s">
        <v>39</v>
      </c>
      <c r="B28" s="7" t="s">
        <v>61</v>
      </c>
      <c r="C28" s="7" t="s">
        <v>61</v>
      </c>
      <c r="D28" s="7" t="s">
        <v>61</v>
      </c>
      <c r="E28" s="7" t="s">
        <v>61</v>
      </c>
      <c r="F28" s="7" t="s">
        <v>61</v>
      </c>
      <c r="G28" s="7" t="s">
        <v>61</v>
      </c>
      <c r="H28" s="7" t="s">
        <v>61</v>
      </c>
      <c r="I28" s="7" t="s">
        <v>61</v>
      </c>
      <c r="J28" s="7" t="s">
        <v>61</v>
      </c>
    </row>
    <row r="29" spans="1:10">
      <c r="A29" s="2" t="s">
        <v>42</v>
      </c>
      <c r="B29" s="7" t="s">
        <v>43</v>
      </c>
      <c r="C29" s="7" t="s">
        <v>43</v>
      </c>
      <c r="D29" s="7" t="s">
        <v>43</v>
      </c>
      <c r="E29" s="7" t="s">
        <v>43</v>
      </c>
      <c r="F29" s="7" t="s">
        <v>43</v>
      </c>
      <c r="G29" s="7" t="s">
        <v>43</v>
      </c>
      <c r="H29" s="7" t="s">
        <v>43</v>
      </c>
      <c r="I29" s="7" t="s">
        <v>43</v>
      </c>
      <c r="J29" s="7" t="s">
        <v>43</v>
      </c>
    </row>
    <row r="30" spans="1:10">
      <c r="A30" s="2" t="s">
        <v>44</v>
      </c>
      <c r="B30" s="7" t="s">
        <v>230</v>
      </c>
      <c r="C30" s="7" t="s">
        <v>230</v>
      </c>
      <c r="D30" s="7" t="s">
        <v>230</v>
      </c>
      <c r="E30" s="7" t="s">
        <v>230</v>
      </c>
      <c r="F30" s="7" t="s">
        <v>230</v>
      </c>
      <c r="G30" s="7" t="s">
        <v>230</v>
      </c>
      <c r="H30" s="7" t="s">
        <v>230</v>
      </c>
      <c r="I30" s="7" t="s">
        <v>230</v>
      </c>
      <c r="J30" s="7" t="s">
        <v>230</v>
      </c>
    </row>
    <row r="31" spans="1:10">
      <c r="A31" s="2" t="s">
        <v>48</v>
      </c>
      <c r="B31" s="7" t="s">
        <v>232</v>
      </c>
      <c r="C31" s="7" t="s">
        <v>232</v>
      </c>
      <c r="D31" s="7" t="s">
        <v>232</v>
      </c>
      <c r="E31" s="7" t="s">
        <v>232</v>
      </c>
      <c r="F31" s="7" t="s">
        <v>232</v>
      </c>
      <c r="G31" s="7" t="s">
        <v>232</v>
      </c>
      <c r="H31" s="7" t="s">
        <v>232</v>
      </c>
      <c r="I31" s="7" t="s">
        <v>232</v>
      </c>
      <c r="J31" s="7" t="s">
        <v>232</v>
      </c>
    </row>
    <row r="32" spans="1:10">
      <c r="A32" s="4" t="s">
        <v>50</v>
      </c>
      <c r="B32" s="7">
        <v>2500</v>
      </c>
      <c r="C32" s="7">
        <v>2500</v>
      </c>
      <c r="D32" s="7">
        <v>2500</v>
      </c>
      <c r="E32" s="7">
        <v>2500</v>
      </c>
      <c r="F32" s="7">
        <v>2500</v>
      </c>
      <c r="G32" s="7">
        <v>2500</v>
      </c>
      <c r="H32" s="7">
        <v>2500</v>
      </c>
      <c r="I32" s="7">
        <v>2500</v>
      </c>
      <c r="J32" s="7">
        <v>2500</v>
      </c>
    </row>
    <row r="33" spans="1:10">
      <c r="A33" s="2" t="s">
        <v>51</v>
      </c>
      <c r="B33" s="7">
        <v>2500</v>
      </c>
      <c r="C33" s="7">
        <v>2500</v>
      </c>
      <c r="D33" s="7">
        <v>2500</v>
      </c>
      <c r="E33" s="7">
        <v>2500</v>
      </c>
      <c r="F33" s="7">
        <v>2500</v>
      </c>
      <c r="G33" s="7">
        <v>2500</v>
      </c>
      <c r="H33" s="7">
        <v>2500</v>
      </c>
      <c r="I33" s="7">
        <v>2500</v>
      </c>
      <c r="J33" s="7">
        <v>2500</v>
      </c>
    </row>
    <row r="34" spans="1:10">
      <c r="A34" s="2" t="s">
        <v>52</v>
      </c>
      <c r="B34" s="7">
        <v>10000</v>
      </c>
      <c r="C34" s="7">
        <v>10000</v>
      </c>
      <c r="D34" s="7">
        <v>10000</v>
      </c>
      <c r="E34" s="7">
        <v>10000</v>
      </c>
      <c r="F34" s="7">
        <v>10000</v>
      </c>
      <c r="G34" s="7">
        <v>10000</v>
      </c>
      <c r="H34" s="7">
        <v>10000</v>
      </c>
      <c r="I34" s="7">
        <v>10000</v>
      </c>
      <c r="J34" s="7">
        <v>10000</v>
      </c>
    </row>
    <row r="35" spans="1:10">
      <c r="A35" s="2" t="s">
        <v>53</v>
      </c>
      <c r="B35" s="7">
        <v>10000</v>
      </c>
      <c r="C35" s="7">
        <v>10000</v>
      </c>
      <c r="D35" s="7">
        <v>10000</v>
      </c>
      <c r="E35" s="7">
        <v>10000</v>
      </c>
      <c r="F35" s="7">
        <v>10000</v>
      </c>
      <c r="G35" s="7">
        <v>10000</v>
      </c>
      <c r="H35" s="7">
        <v>10000</v>
      </c>
      <c r="I35" s="7">
        <v>10000</v>
      </c>
      <c r="J35" s="7">
        <v>10000</v>
      </c>
    </row>
    <row r="36" spans="1:10">
      <c r="A36" s="2" t="s">
        <v>54</v>
      </c>
      <c r="B36" s="7" t="s">
        <v>9</v>
      </c>
      <c r="C36" s="7" t="s">
        <v>9</v>
      </c>
      <c r="D36" s="7" t="s">
        <v>9</v>
      </c>
      <c r="E36" s="7" t="s">
        <v>9</v>
      </c>
      <c r="F36" s="7" t="s">
        <v>9</v>
      </c>
      <c r="G36" s="7" t="s">
        <v>9</v>
      </c>
      <c r="H36" s="7" t="s">
        <v>9</v>
      </c>
      <c r="I36" s="7" t="s">
        <v>9</v>
      </c>
      <c r="J36" s="7" t="s">
        <v>9</v>
      </c>
    </row>
    <row r="37" spans="1:10">
      <c r="A37" s="2" t="s">
        <v>55</v>
      </c>
      <c r="B37" s="7" t="s">
        <v>9</v>
      </c>
      <c r="C37" s="7" t="s">
        <v>9</v>
      </c>
      <c r="D37" s="7" t="s">
        <v>9</v>
      </c>
      <c r="E37" s="7" t="s">
        <v>9</v>
      </c>
      <c r="F37" s="7" t="s">
        <v>9</v>
      </c>
      <c r="G37" s="7" t="s">
        <v>9</v>
      </c>
      <c r="H37" s="7" t="s">
        <v>9</v>
      </c>
      <c r="I37" s="7" t="s">
        <v>9</v>
      </c>
      <c r="J37" s="7" t="s">
        <v>9</v>
      </c>
    </row>
    <row r="38" spans="1:10">
      <c r="A38" s="2" t="s">
        <v>56</v>
      </c>
      <c r="B38" s="7" t="s">
        <v>9</v>
      </c>
      <c r="C38" s="7" t="s">
        <v>9</v>
      </c>
      <c r="D38" s="7" t="s">
        <v>9</v>
      </c>
      <c r="E38" s="7" t="s">
        <v>9</v>
      </c>
      <c r="F38" s="7" t="s">
        <v>9</v>
      </c>
      <c r="G38" s="7" t="s">
        <v>9</v>
      </c>
      <c r="H38" s="7" t="s">
        <v>9</v>
      </c>
      <c r="I38" s="7" t="s">
        <v>9</v>
      </c>
      <c r="J38" s="7" t="s">
        <v>9</v>
      </c>
    </row>
    <row r="39" spans="1:10">
      <c r="A39" s="4" t="s">
        <v>234</v>
      </c>
      <c r="B39" s="7" t="s">
        <v>9</v>
      </c>
      <c r="C39" s="7" t="s">
        <v>9</v>
      </c>
      <c r="D39" s="7" t="s">
        <v>9</v>
      </c>
      <c r="E39" s="7" t="s">
        <v>9</v>
      </c>
      <c r="F39" s="7">
        <v>1.6</v>
      </c>
      <c r="G39" s="7">
        <v>1.95</v>
      </c>
      <c r="H39" s="7" t="s">
        <v>9</v>
      </c>
      <c r="I39" s="8">
        <f>I21/I24</f>
        <v>2.3166666666666669</v>
      </c>
      <c r="J39" s="7" t="s">
        <v>9</v>
      </c>
    </row>
    <row r="40" spans="1:10">
      <c r="A40" s="2" t="s">
        <v>58</v>
      </c>
      <c r="B40" s="7" t="s">
        <v>9</v>
      </c>
      <c r="C40" s="7" t="s">
        <v>9</v>
      </c>
      <c r="D40" s="7" t="s">
        <v>9</v>
      </c>
      <c r="E40" s="7" t="s">
        <v>9</v>
      </c>
      <c r="F40" s="7" t="s">
        <v>9</v>
      </c>
      <c r="G40" s="7" t="s">
        <v>9</v>
      </c>
      <c r="H40" s="7" t="s">
        <v>9</v>
      </c>
      <c r="I40" s="7" t="s">
        <v>9</v>
      </c>
      <c r="J40" s="7" t="s">
        <v>9</v>
      </c>
    </row>
    <row r="41" spans="1:10">
      <c r="A41" s="4" t="s">
        <v>59</v>
      </c>
      <c r="B41" s="7" t="s">
        <v>9</v>
      </c>
      <c r="C41" s="7" t="s">
        <v>9</v>
      </c>
      <c r="D41" s="7" t="s">
        <v>9</v>
      </c>
      <c r="E41" s="7" t="s">
        <v>9</v>
      </c>
      <c r="F41" s="7" t="s">
        <v>9</v>
      </c>
      <c r="G41" s="7" t="s">
        <v>9</v>
      </c>
      <c r="H41" s="7" t="s">
        <v>9</v>
      </c>
      <c r="I41" s="7" t="s">
        <v>9</v>
      </c>
      <c r="J41" s="7" t="s">
        <v>9</v>
      </c>
    </row>
    <row r="42" spans="1:10">
      <c r="A42" s="2" t="s">
        <v>90</v>
      </c>
      <c r="B42" s="7" t="s">
        <v>9</v>
      </c>
      <c r="C42" s="7" t="s">
        <v>9</v>
      </c>
      <c r="D42" s="7" t="s">
        <v>9</v>
      </c>
      <c r="E42" s="7" t="s">
        <v>9</v>
      </c>
      <c r="F42" s="7" t="s">
        <v>9</v>
      </c>
      <c r="G42" s="7" t="s">
        <v>9</v>
      </c>
      <c r="H42" s="7" t="s">
        <v>9</v>
      </c>
      <c r="I42" s="7" t="s">
        <v>9</v>
      </c>
      <c r="J42" s="7" t="s">
        <v>9</v>
      </c>
    </row>
    <row r="43" spans="1:10">
      <c r="A43" s="2" t="s">
        <v>91</v>
      </c>
      <c r="B43" s="7" t="s">
        <v>9</v>
      </c>
      <c r="C43" s="7" t="s">
        <v>9</v>
      </c>
      <c r="D43" s="7" t="s">
        <v>9</v>
      </c>
      <c r="E43" s="7" t="s">
        <v>9</v>
      </c>
      <c r="F43" s="7" t="s">
        <v>9</v>
      </c>
      <c r="G43" s="7" t="s">
        <v>9</v>
      </c>
      <c r="H43" s="7" t="s">
        <v>9</v>
      </c>
      <c r="I43" s="7" t="s">
        <v>9</v>
      </c>
      <c r="J43" s="7" t="s">
        <v>9</v>
      </c>
    </row>
    <row r="44" spans="1:10">
      <c r="A44" s="2" t="s">
        <v>92</v>
      </c>
      <c r="B44" s="7" t="s">
        <v>9</v>
      </c>
      <c r="C44" s="7" t="s">
        <v>9</v>
      </c>
      <c r="D44" s="7" t="s">
        <v>9</v>
      </c>
      <c r="E44" s="7" t="s">
        <v>9</v>
      </c>
      <c r="F44" s="7" t="s">
        <v>9</v>
      </c>
      <c r="G44" s="7" t="s">
        <v>9</v>
      </c>
      <c r="H44" s="7" t="s">
        <v>9</v>
      </c>
      <c r="I44" s="7" t="s">
        <v>9</v>
      </c>
      <c r="J44" s="7" t="s">
        <v>9</v>
      </c>
    </row>
    <row r="45" spans="1:10">
      <c r="A45" s="2" t="s">
        <v>93</v>
      </c>
      <c r="B45" s="7" t="s">
        <v>9</v>
      </c>
      <c r="C45" s="7" t="s">
        <v>9</v>
      </c>
      <c r="D45" s="7" t="s">
        <v>9</v>
      </c>
      <c r="E45" s="7" t="s">
        <v>9</v>
      </c>
      <c r="F45" s="7" t="s">
        <v>9</v>
      </c>
      <c r="G45" s="7" t="s">
        <v>9</v>
      </c>
      <c r="H45" s="7" t="s">
        <v>9</v>
      </c>
      <c r="I45" s="7" t="s">
        <v>9</v>
      </c>
      <c r="J45" s="7" t="s">
        <v>9</v>
      </c>
    </row>
    <row r="46" spans="1:10">
      <c r="A46" s="2" t="s">
        <v>94</v>
      </c>
      <c r="B46" s="7" t="s">
        <v>9</v>
      </c>
      <c r="C46" s="7" t="s">
        <v>9</v>
      </c>
      <c r="D46" s="7" t="s">
        <v>9</v>
      </c>
      <c r="E46" s="7" t="s">
        <v>9</v>
      </c>
      <c r="F46" s="7" t="s">
        <v>9</v>
      </c>
      <c r="G46" s="7" t="s">
        <v>9</v>
      </c>
      <c r="H46" s="7" t="s">
        <v>9</v>
      </c>
      <c r="I46" s="7" t="s">
        <v>9</v>
      </c>
      <c r="J46" s="7" t="s">
        <v>9</v>
      </c>
    </row>
    <row r="47" spans="1:10">
      <c r="A47" s="2" t="s">
        <v>95</v>
      </c>
      <c r="B47" s="7" t="s">
        <v>9</v>
      </c>
      <c r="C47" s="7" t="s">
        <v>9</v>
      </c>
      <c r="D47" s="7" t="s">
        <v>9</v>
      </c>
      <c r="E47" s="7" t="s">
        <v>9</v>
      </c>
      <c r="F47" s="7" t="s">
        <v>9</v>
      </c>
      <c r="G47" s="7" t="s">
        <v>9</v>
      </c>
      <c r="H47" s="7" t="s">
        <v>9</v>
      </c>
      <c r="I47" s="7" t="s">
        <v>9</v>
      </c>
      <c r="J47" s="7" t="s">
        <v>9</v>
      </c>
    </row>
    <row r="48" spans="1:10">
      <c r="A48" s="2" t="s">
        <v>96</v>
      </c>
      <c r="B48" s="7" t="s">
        <v>9</v>
      </c>
      <c r="C48" s="7" t="s">
        <v>9</v>
      </c>
      <c r="D48" s="7" t="s">
        <v>9</v>
      </c>
      <c r="E48" s="7" t="s">
        <v>9</v>
      </c>
      <c r="F48" s="7" t="s">
        <v>9</v>
      </c>
      <c r="G48" s="7" t="s">
        <v>9</v>
      </c>
      <c r="H48" s="7" t="s">
        <v>9</v>
      </c>
      <c r="I48" s="7" t="s">
        <v>9</v>
      </c>
      <c r="J48" s="7" t="s">
        <v>9</v>
      </c>
    </row>
    <row r="49" spans="1:10">
      <c r="A49" s="2" t="s">
        <v>97</v>
      </c>
      <c r="B49" s="7" t="s">
        <v>9</v>
      </c>
      <c r="C49" s="7" t="s">
        <v>9</v>
      </c>
      <c r="D49" s="7" t="s">
        <v>9</v>
      </c>
      <c r="E49" s="7" t="s">
        <v>9</v>
      </c>
      <c r="F49" s="7" t="s">
        <v>9</v>
      </c>
      <c r="G49" s="7" t="s">
        <v>9</v>
      </c>
      <c r="H49" s="7" t="s">
        <v>9</v>
      </c>
      <c r="I49" s="7" t="s">
        <v>9</v>
      </c>
      <c r="J49" s="7" t="s">
        <v>9</v>
      </c>
    </row>
    <row r="50" spans="1:10">
      <c r="A50" s="2" t="s">
        <v>98</v>
      </c>
      <c r="B50" s="7" t="s">
        <v>9</v>
      </c>
      <c r="C50" s="7" t="s">
        <v>9</v>
      </c>
      <c r="D50" s="7" t="s">
        <v>9</v>
      </c>
      <c r="E50" s="7" t="s">
        <v>9</v>
      </c>
      <c r="F50" s="7" t="s">
        <v>9</v>
      </c>
      <c r="G50" s="7" t="s">
        <v>9</v>
      </c>
      <c r="H50" s="7" t="s">
        <v>9</v>
      </c>
      <c r="I50" s="7" t="s">
        <v>9</v>
      </c>
      <c r="J50" s="7" t="s">
        <v>9</v>
      </c>
    </row>
    <row r="51" spans="1:10">
      <c r="A51" s="2" t="s">
        <v>99</v>
      </c>
      <c r="B51" s="7" t="s">
        <v>9</v>
      </c>
      <c r="C51" s="7" t="s">
        <v>9</v>
      </c>
      <c r="D51" s="7" t="s">
        <v>9</v>
      </c>
      <c r="E51" s="7" t="s">
        <v>9</v>
      </c>
      <c r="F51" s="7" t="s">
        <v>9</v>
      </c>
      <c r="G51" s="7" t="s">
        <v>9</v>
      </c>
      <c r="H51" s="7" t="s">
        <v>9</v>
      </c>
      <c r="I51" s="7" t="s">
        <v>9</v>
      </c>
      <c r="J51" s="7" t="s">
        <v>9</v>
      </c>
    </row>
    <row r="52" spans="1:10">
      <c r="A52" s="2" t="s">
        <v>100</v>
      </c>
      <c r="B52" s="7" t="s">
        <v>9</v>
      </c>
      <c r="C52" s="7" t="s">
        <v>9</v>
      </c>
      <c r="D52" s="7" t="s">
        <v>9</v>
      </c>
      <c r="E52" s="7" t="s">
        <v>9</v>
      </c>
      <c r="F52" s="7" t="s">
        <v>9</v>
      </c>
      <c r="G52" s="7" t="s">
        <v>9</v>
      </c>
      <c r="H52" s="7" t="s">
        <v>9</v>
      </c>
      <c r="I52" s="7" t="s">
        <v>9</v>
      </c>
      <c r="J52" s="7" t="s">
        <v>9</v>
      </c>
    </row>
    <row r="53" spans="1:10">
      <c r="A53" s="2" t="s">
        <v>104</v>
      </c>
      <c r="B53" s="7" t="s">
        <v>9</v>
      </c>
      <c r="C53" s="7" t="s">
        <v>9</v>
      </c>
      <c r="D53" s="7" t="s">
        <v>9</v>
      </c>
      <c r="E53" s="7" t="s">
        <v>9</v>
      </c>
      <c r="F53" s="7" t="s">
        <v>9</v>
      </c>
      <c r="G53" s="7" t="s">
        <v>9</v>
      </c>
      <c r="H53" s="7" t="s">
        <v>9</v>
      </c>
      <c r="I53" s="7" t="s">
        <v>9</v>
      </c>
      <c r="J53" s="7" t="s">
        <v>9</v>
      </c>
    </row>
    <row r="54" spans="1:10">
      <c r="A54" s="2" t="s">
        <v>105</v>
      </c>
      <c r="B54" s="7" t="s">
        <v>9</v>
      </c>
      <c r="C54" s="7" t="s">
        <v>9</v>
      </c>
      <c r="D54" s="7" t="s">
        <v>9</v>
      </c>
      <c r="E54" s="7" t="s">
        <v>9</v>
      </c>
      <c r="F54" s="7" t="s">
        <v>9</v>
      </c>
      <c r="G54" s="7" t="s">
        <v>9</v>
      </c>
      <c r="H54" s="7" t="s">
        <v>9</v>
      </c>
      <c r="I54" s="7" t="s">
        <v>9</v>
      </c>
      <c r="J54" s="7" t="s">
        <v>9</v>
      </c>
    </row>
    <row r="55" spans="1:10">
      <c r="A55" s="2" t="s">
        <v>106</v>
      </c>
      <c r="B55" s="7" t="s">
        <v>9</v>
      </c>
      <c r="C55" s="7" t="s">
        <v>236</v>
      </c>
      <c r="D55" s="7" t="s">
        <v>9</v>
      </c>
      <c r="E55" s="7" t="s">
        <v>9</v>
      </c>
      <c r="F55" s="7" t="s">
        <v>238</v>
      </c>
      <c r="G55" s="7" t="s">
        <v>9</v>
      </c>
      <c r="H55" s="7" t="s">
        <v>239</v>
      </c>
      <c r="I55" s="7" t="s">
        <v>240</v>
      </c>
      <c r="J55" s="7" t="s">
        <v>9</v>
      </c>
    </row>
    <row r="56" spans="1:10">
      <c r="A56" s="2" t="s">
        <v>107</v>
      </c>
      <c r="B56" s="7" t="s">
        <v>9</v>
      </c>
      <c r="C56" s="7" t="s">
        <v>241</v>
      </c>
      <c r="D56" s="7" t="s">
        <v>9</v>
      </c>
      <c r="E56" s="7" t="s">
        <v>9</v>
      </c>
      <c r="F56" s="7" t="s">
        <v>242</v>
      </c>
      <c r="G56" s="7" t="s">
        <v>9</v>
      </c>
      <c r="H56" s="1" t="s">
        <v>243</v>
      </c>
      <c r="I56" s="7" t="s">
        <v>244</v>
      </c>
      <c r="J56" s="7" t="s">
        <v>9</v>
      </c>
    </row>
    <row r="57" spans="1:10" ht="30">
      <c r="A57" s="2" t="s">
        <v>108</v>
      </c>
      <c r="B57" s="7" t="s">
        <v>245</v>
      </c>
      <c r="C57" s="7" t="s">
        <v>245</v>
      </c>
      <c r="D57" s="7" t="s">
        <v>245</v>
      </c>
      <c r="E57" s="7" t="s">
        <v>245</v>
      </c>
      <c r="F57" s="7" t="s">
        <v>245</v>
      </c>
      <c r="G57" s="7" t="s">
        <v>245</v>
      </c>
      <c r="H57" s="7" t="s">
        <v>245</v>
      </c>
      <c r="I57" s="7" t="s">
        <v>245</v>
      </c>
      <c r="J57" s="7" t="s">
        <v>245</v>
      </c>
    </row>
    <row r="58" spans="1:10" ht="30">
      <c r="A58" s="2" t="s">
        <v>111</v>
      </c>
      <c r="B58" s="7" t="s">
        <v>9</v>
      </c>
      <c r="C58" s="7" t="s">
        <v>247</v>
      </c>
      <c r="D58" s="7"/>
      <c r="E58" s="7" t="s">
        <v>9</v>
      </c>
      <c r="F58" s="7" t="s">
        <v>248</v>
      </c>
      <c r="G58" s="7" t="s">
        <v>9</v>
      </c>
      <c r="H58" s="7" t="s">
        <v>249</v>
      </c>
      <c r="I58" s="7" t="s">
        <v>250</v>
      </c>
      <c r="J58" s="7" t="s">
        <v>9</v>
      </c>
    </row>
    <row r="59" spans="1:10" ht="30">
      <c r="A59" s="2" t="s">
        <v>116</v>
      </c>
      <c r="B59" s="7" t="s">
        <v>245</v>
      </c>
      <c r="C59" s="7" t="s">
        <v>245</v>
      </c>
      <c r="D59" s="7" t="s">
        <v>245</v>
      </c>
      <c r="E59" s="7" t="s">
        <v>245</v>
      </c>
      <c r="F59" s="7" t="s">
        <v>245</v>
      </c>
      <c r="G59" s="7" t="s">
        <v>245</v>
      </c>
      <c r="H59" s="7" t="s">
        <v>245</v>
      </c>
      <c r="I59" s="7" t="s">
        <v>245</v>
      </c>
      <c r="J59" s="7" t="s">
        <v>245</v>
      </c>
    </row>
    <row r="60" spans="1:10" ht="89.25" customHeight="1">
      <c r="A60" s="2" t="s">
        <v>117</v>
      </c>
      <c r="B60" s="7" t="s">
        <v>251</v>
      </c>
      <c r="C60" s="7" t="s">
        <v>251</v>
      </c>
      <c r="D60" s="7" t="s">
        <v>251</v>
      </c>
      <c r="E60" s="7" t="s">
        <v>251</v>
      </c>
      <c r="F60" s="7" t="s">
        <v>253</v>
      </c>
      <c r="G60" s="7" t="s">
        <v>253</v>
      </c>
      <c r="H60" s="7" t="s">
        <v>255</v>
      </c>
      <c r="I60" s="7" t="s">
        <v>257</v>
      </c>
      <c r="J60" s="7" t="s">
        <v>9</v>
      </c>
    </row>
    <row r="61" spans="1:10" ht="30">
      <c r="A61" s="2" t="s">
        <v>118</v>
      </c>
      <c r="B61" s="7" t="s">
        <v>259</v>
      </c>
      <c r="C61" s="7" t="s">
        <v>259</v>
      </c>
      <c r="D61" s="7" t="s">
        <v>259</v>
      </c>
      <c r="E61" s="7" t="s">
        <v>259</v>
      </c>
      <c r="F61" s="7" t="s">
        <v>259</v>
      </c>
      <c r="G61" s="7" t="s">
        <v>259</v>
      </c>
      <c r="H61" s="7" t="s">
        <v>259</v>
      </c>
      <c r="I61" s="7" t="s">
        <v>259</v>
      </c>
      <c r="J61" s="7" t="s">
        <v>259</v>
      </c>
    </row>
    <row r="62" spans="1:10">
      <c r="A62" s="2" t="s">
        <v>119</v>
      </c>
      <c r="B62" s="7">
        <v>1.9</v>
      </c>
      <c r="C62" s="7">
        <v>2.8</v>
      </c>
      <c r="D62" s="7" t="s">
        <v>9</v>
      </c>
      <c r="E62" s="7" t="s">
        <v>9</v>
      </c>
      <c r="F62" s="7" t="s">
        <v>9</v>
      </c>
      <c r="G62" s="7" t="s">
        <v>9</v>
      </c>
      <c r="H62" s="7" t="s">
        <v>9</v>
      </c>
      <c r="I62" s="7">
        <v>6.9</v>
      </c>
      <c r="J62" s="7">
        <v>6.9</v>
      </c>
    </row>
    <row r="63" spans="1:10">
      <c r="A63" s="2" t="s">
        <v>120</v>
      </c>
      <c r="B63" s="7" t="s">
        <v>262</v>
      </c>
      <c r="C63" s="7" t="s">
        <v>262</v>
      </c>
      <c r="D63" s="7" t="s">
        <v>9</v>
      </c>
      <c r="E63" s="7" t="s">
        <v>262</v>
      </c>
      <c r="F63" s="7" t="s">
        <v>262</v>
      </c>
      <c r="G63" s="7" t="s">
        <v>262</v>
      </c>
      <c r="H63" s="7" t="s">
        <v>262</v>
      </c>
      <c r="I63" s="7" t="s">
        <v>262</v>
      </c>
      <c r="J63" s="7" t="s">
        <v>262</v>
      </c>
    </row>
    <row r="64" spans="1:10">
      <c r="A64" s="2" t="s">
        <v>121</v>
      </c>
      <c r="B64" s="7" t="s">
        <v>9</v>
      </c>
      <c r="C64" s="7" t="s">
        <v>9</v>
      </c>
      <c r="D64" s="7" t="s">
        <v>9</v>
      </c>
      <c r="E64" s="7" t="s">
        <v>9</v>
      </c>
      <c r="F64" s="7" t="s">
        <v>9</v>
      </c>
      <c r="G64" s="7" t="s">
        <v>9</v>
      </c>
      <c r="H64" s="7" t="s">
        <v>9</v>
      </c>
      <c r="I64" s="7" t="s">
        <v>9</v>
      </c>
      <c r="J64" s="7" t="s">
        <v>9</v>
      </c>
    </row>
    <row r="65" spans="1:10">
      <c r="A65" s="2" t="s">
        <v>122</v>
      </c>
      <c r="B65" s="7" t="s">
        <v>9</v>
      </c>
      <c r="C65" s="7" t="s">
        <v>9</v>
      </c>
      <c r="D65" s="7" t="s">
        <v>9</v>
      </c>
      <c r="E65" s="7" t="s">
        <v>9</v>
      </c>
      <c r="F65" s="7" t="s">
        <v>9</v>
      </c>
      <c r="G65" s="7" t="s">
        <v>9</v>
      </c>
      <c r="H65" s="7" t="s">
        <v>9</v>
      </c>
      <c r="I65" s="7" t="s">
        <v>9</v>
      </c>
      <c r="J65" s="7" t="s">
        <v>9</v>
      </c>
    </row>
    <row r="66" spans="1:10">
      <c r="A66" s="4" t="s">
        <v>123</v>
      </c>
      <c r="B66" s="7" t="s">
        <v>9</v>
      </c>
      <c r="C66" s="7" t="s">
        <v>9</v>
      </c>
      <c r="D66" s="7" t="s">
        <v>9</v>
      </c>
      <c r="E66" s="7" t="s">
        <v>9</v>
      </c>
      <c r="F66" s="7" t="s">
        <v>9</v>
      </c>
      <c r="G66" s="7" t="s">
        <v>9</v>
      </c>
      <c r="H66" s="7" t="s">
        <v>9</v>
      </c>
      <c r="I66" s="7" t="s">
        <v>9</v>
      </c>
      <c r="J66" s="7" t="s">
        <v>9</v>
      </c>
    </row>
    <row r="67" spans="1:10">
      <c r="A67" s="4" t="s">
        <v>125</v>
      </c>
      <c r="B67" s="7" t="s">
        <v>9</v>
      </c>
      <c r="C67" s="7" t="s">
        <v>9</v>
      </c>
      <c r="D67" s="7" t="s">
        <v>9</v>
      </c>
      <c r="E67" s="7" t="s">
        <v>9</v>
      </c>
      <c r="F67" s="7" t="s">
        <v>9</v>
      </c>
      <c r="G67" s="7" t="s">
        <v>9</v>
      </c>
      <c r="H67" s="7" t="s">
        <v>9</v>
      </c>
      <c r="I67" s="7" t="s">
        <v>9</v>
      </c>
      <c r="J67" s="7" t="s">
        <v>9</v>
      </c>
    </row>
    <row r="68" spans="1:10">
      <c r="A68" s="4" t="s">
        <v>126</v>
      </c>
      <c r="B68" s="7" t="s">
        <v>9</v>
      </c>
      <c r="C68" s="7" t="s">
        <v>9</v>
      </c>
      <c r="D68" s="7" t="s">
        <v>9</v>
      </c>
      <c r="E68" s="7" t="s">
        <v>9</v>
      </c>
      <c r="F68" s="7" t="s">
        <v>9</v>
      </c>
      <c r="G68" s="7" t="s">
        <v>9</v>
      </c>
      <c r="H68" s="7" t="s">
        <v>9</v>
      </c>
      <c r="I68" s="7" t="s">
        <v>9</v>
      </c>
      <c r="J68" s="7" t="s">
        <v>9</v>
      </c>
    </row>
    <row r="69" spans="1:10">
      <c r="A69" s="4" t="s">
        <v>127</v>
      </c>
      <c r="B69" s="7" t="s">
        <v>9</v>
      </c>
      <c r="C69" s="7" t="s">
        <v>9</v>
      </c>
      <c r="D69" s="7" t="s">
        <v>9</v>
      </c>
      <c r="E69" s="7" t="s">
        <v>9</v>
      </c>
      <c r="F69" s="7" t="s">
        <v>9</v>
      </c>
      <c r="G69" s="7" t="s">
        <v>9</v>
      </c>
      <c r="H69" s="7" t="s">
        <v>9</v>
      </c>
      <c r="I69" s="7" t="s">
        <v>9</v>
      </c>
      <c r="J69" s="7" t="s">
        <v>9</v>
      </c>
    </row>
    <row r="70" spans="1:10">
      <c r="A70" s="4" t="s">
        <v>128</v>
      </c>
      <c r="B70" s="7" t="s">
        <v>9</v>
      </c>
      <c r="C70" s="7" t="s">
        <v>9</v>
      </c>
      <c r="D70" s="7" t="s">
        <v>9</v>
      </c>
      <c r="E70" s="7" t="s">
        <v>9</v>
      </c>
      <c r="F70" s="7" t="s">
        <v>9</v>
      </c>
      <c r="G70" s="7" t="s">
        <v>9</v>
      </c>
      <c r="H70" s="7" t="s">
        <v>9</v>
      </c>
      <c r="I70" s="7" t="s">
        <v>9</v>
      </c>
      <c r="J70" s="7" t="s">
        <v>9</v>
      </c>
    </row>
    <row r="71" spans="1:10">
      <c r="A71" s="4" t="s">
        <v>133</v>
      </c>
      <c r="B71" s="7" t="s">
        <v>9</v>
      </c>
      <c r="C71" s="7" t="s">
        <v>9</v>
      </c>
      <c r="D71" s="7" t="s">
        <v>9</v>
      </c>
      <c r="E71" s="7" t="s">
        <v>9</v>
      </c>
      <c r="F71" s="7" t="s">
        <v>9</v>
      </c>
      <c r="G71" s="7" t="s">
        <v>9</v>
      </c>
      <c r="H71" s="7" t="s">
        <v>9</v>
      </c>
      <c r="I71" s="7" t="s">
        <v>9</v>
      </c>
      <c r="J71" s="7" t="s">
        <v>9</v>
      </c>
    </row>
    <row r="72" spans="1:10">
      <c r="A72" s="4" t="s">
        <v>135</v>
      </c>
      <c r="B72" s="7" t="s">
        <v>9</v>
      </c>
      <c r="C72" s="7" t="s">
        <v>9</v>
      </c>
      <c r="D72" s="7" t="s">
        <v>9</v>
      </c>
      <c r="E72" s="7" t="s">
        <v>9</v>
      </c>
      <c r="F72" s="7" t="s">
        <v>9</v>
      </c>
      <c r="G72" s="7" t="s">
        <v>9</v>
      </c>
      <c r="H72" s="7" t="s">
        <v>9</v>
      </c>
      <c r="I72" s="7" t="s">
        <v>9</v>
      </c>
      <c r="J72" s="7" t="s">
        <v>9</v>
      </c>
    </row>
    <row r="73" spans="1:10">
      <c r="A73" s="4" t="s">
        <v>136</v>
      </c>
      <c r="B73" s="7" t="s">
        <v>9</v>
      </c>
      <c r="C73" s="7" t="s">
        <v>9</v>
      </c>
      <c r="D73" s="7" t="s">
        <v>9</v>
      </c>
      <c r="E73" s="7" t="s">
        <v>9</v>
      </c>
      <c r="F73" s="7" t="s">
        <v>9</v>
      </c>
      <c r="G73" s="7" t="s">
        <v>9</v>
      </c>
      <c r="H73" s="7" t="s">
        <v>9</v>
      </c>
      <c r="I73" s="7" t="s">
        <v>9</v>
      </c>
      <c r="J73" s="7" t="s">
        <v>9</v>
      </c>
    </row>
    <row r="74" spans="1:10">
      <c r="A74" s="4" t="s">
        <v>137</v>
      </c>
      <c r="B74" s="7" t="s">
        <v>9</v>
      </c>
      <c r="C74" s="7" t="s">
        <v>9</v>
      </c>
      <c r="D74" s="7" t="s">
        <v>9</v>
      </c>
      <c r="E74" s="7" t="s">
        <v>9</v>
      </c>
      <c r="F74" s="7" t="s">
        <v>9</v>
      </c>
      <c r="G74" s="7" t="s">
        <v>9</v>
      </c>
      <c r="H74" s="7" t="s">
        <v>9</v>
      </c>
      <c r="I74" s="7" t="s">
        <v>9</v>
      </c>
      <c r="J74" s="7" t="s">
        <v>9</v>
      </c>
    </row>
    <row r="75" spans="1:10">
      <c r="A75" s="4" t="s">
        <v>138</v>
      </c>
      <c r="B75" s="7" t="s">
        <v>9</v>
      </c>
      <c r="C75" s="7" t="s">
        <v>9</v>
      </c>
      <c r="D75" s="7" t="s">
        <v>9</v>
      </c>
      <c r="E75" s="7" t="s">
        <v>9</v>
      </c>
      <c r="F75" s="7" t="s">
        <v>9</v>
      </c>
      <c r="G75" s="7" t="s">
        <v>9</v>
      </c>
      <c r="H75" s="7" t="s">
        <v>9</v>
      </c>
      <c r="I75" s="7" t="s">
        <v>9</v>
      </c>
      <c r="J75" s="7" t="s">
        <v>9</v>
      </c>
    </row>
    <row r="76" spans="1:10">
      <c r="A76" s="2" t="s">
        <v>142</v>
      </c>
      <c r="B76" s="7" t="s">
        <v>9</v>
      </c>
      <c r="C76" s="7" t="s">
        <v>9</v>
      </c>
      <c r="D76" s="7" t="s">
        <v>9</v>
      </c>
      <c r="E76" s="7" t="s">
        <v>9</v>
      </c>
      <c r="F76" s="7" t="s">
        <v>9</v>
      </c>
      <c r="G76" s="7" t="s">
        <v>9</v>
      </c>
      <c r="H76" s="7" t="s">
        <v>9</v>
      </c>
      <c r="I76" s="7" t="s">
        <v>9</v>
      </c>
      <c r="J76" s="7" t="s">
        <v>9</v>
      </c>
    </row>
    <row r="77" spans="1:10">
      <c r="A77" s="2" t="s">
        <v>143</v>
      </c>
      <c r="B77" s="7" t="s">
        <v>9</v>
      </c>
      <c r="C77" s="7" t="s">
        <v>9</v>
      </c>
      <c r="D77" s="7" t="s">
        <v>9</v>
      </c>
      <c r="E77" s="7" t="s">
        <v>9</v>
      </c>
      <c r="F77" s="7" t="s">
        <v>9</v>
      </c>
      <c r="G77" s="7" t="s">
        <v>9</v>
      </c>
      <c r="H77" s="7" t="s">
        <v>9</v>
      </c>
      <c r="I77" s="7" t="s">
        <v>9</v>
      </c>
      <c r="J77" s="7" t="s">
        <v>9</v>
      </c>
    </row>
    <row r="78" spans="1:10">
      <c r="A78" s="2" t="s">
        <v>144</v>
      </c>
      <c r="B78" s="7" t="s">
        <v>9</v>
      </c>
      <c r="C78" s="7" t="s">
        <v>9</v>
      </c>
      <c r="D78" s="7" t="s">
        <v>9</v>
      </c>
      <c r="E78" s="7" t="s">
        <v>9</v>
      </c>
      <c r="F78" s="7" t="s">
        <v>9</v>
      </c>
      <c r="G78" s="7" t="s">
        <v>9</v>
      </c>
      <c r="H78" s="7" t="s">
        <v>9</v>
      </c>
      <c r="I78" s="7" t="s">
        <v>9</v>
      </c>
      <c r="J78" s="7" t="s">
        <v>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678246f-8cee-4898-9166-ac9c8abf50b2" xsi:nil="true"/>
    <lcf76f155ced4ddcb4097134ff3c332f xmlns="a4f86538-1dc4-4126-992b-94a6bad82f1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1C4538EBF0F0409195830874F93BBA" ma:contentTypeVersion="12" ma:contentTypeDescription="Create a new document." ma:contentTypeScope="" ma:versionID="3759dc27ec4563c9ad311c5b9ab63f86">
  <xsd:schema xmlns:xsd="http://www.w3.org/2001/XMLSchema" xmlns:xs="http://www.w3.org/2001/XMLSchema" xmlns:p="http://schemas.microsoft.com/office/2006/metadata/properties" xmlns:ns2="a4f86538-1dc4-4126-992b-94a6bad82f17" xmlns:ns3="6678246f-8cee-4898-9166-ac9c8abf50b2" targetNamespace="http://schemas.microsoft.com/office/2006/metadata/properties" ma:root="true" ma:fieldsID="083f65bd7e8bfc537d833bcea6cea165" ns2:_="" ns3:_="">
    <xsd:import namespace="a4f86538-1dc4-4126-992b-94a6bad82f17"/>
    <xsd:import namespace="6678246f-8cee-4898-9166-ac9c8abf50b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f86538-1dc4-4126-992b-94a6bad82f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55cd427-a42c-44c8-816a-2405638e27c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678246f-8cee-4898-9166-ac9c8abf50b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6daa289-2ef7-4ee5-812e-fbfeee2802ec}" ma:internalName="TaxCatchAll" ma:showField="CatchAllData" ma:web="6678246f-8cee-4898-9166-ac9c8abf50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CB680B-289C-4C29-8780-885AE7AF6EAE}"/>
</file>

<file path=customXml/itemProps2.xml><?xml version="1.0" encoding="utf-8"?>
<ds:datastoreItem xmlns:ds="http://schemas.openxmlformats.org/officeDocument/2006/customXml" ds:itemID="{CA3092C2-1970-4234-9E85-C85BEB9599A7}"/>
</file>

<file path=customXml/itemProps3.xml><?xml version="1.0" encoding="utf-8"?>
<ds:datastoreItem xmlns:ds="http://schemas.openxmlformats.org/officeDocument/2006/customXml" ds:itemID="{DA8E691D-9D53-432B-9FDC-7BF47BD504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sameer.sadruddin</cp:lastModifiedBy>
  <cp:revision/>
  <dcterms:created xsi:type="dcterms:W3CDTF">2025-09-12T13:27:30Z</dcterms:created>
  <dcterms:modified xsi:type="dcterms:W3CDTF">2025-10-28T12:51:45Z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0x010100541C4538EBF0F0409195830874F93BBA</vt:lpwstr>
  </property>
  <property fmtid="{D5CDD505-2E9C-101B-9397-08002B2CF9AE}" pid="3" name="MediaServiceImageTags">
    <vt:lpwstr/>
  </property>
</Properties>
</file>